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ent updates" sheetId="1" state="visible" r:id="rId3"/>
    <sheet name="New programs (30)" sheetId="2" state="visible" r:id="rId4"/>
    <sheet name="Where to look" sheetId="3" state="visible" r:id="rId5"/>
    <sheet name="How to fill in" sheetId="4" state="visible" r:id="rId6"/>
  </sheets>
  <definedNames>
    <definedName function="false" hidden="true" localSheetId="0" name="_xlnm._FilterDatabase" vbProcedure="false">'Event updates'!$A$5:$T$25</definedName>
    <definedName function="false" hidden="true" localSheetId="1" name="_xlnm._FilterDatabase" vbProcedure="false">'New programs (30)'!$A$5:$R$35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<sst xmlns="http://schemas.openxmlformats.org/spreadsheetml/2006/main" count="603" uniqueCount="368">
  <si>
    <t xml:space="preserve">BeachWell: update the event catalog with real CSULB programs</t>
  </si>
  <si>
    <t xml:space="preserve">One row per program in backend/data/events_catalog.csv. Check the page in column J, then fill in the yellow columns. Grey columns are what the catalog says now. See the 'How to fill in' tab for formats.</t>
  </si>
  <si>
    <t xml:space="preserve">Progress</t>
  </si>
  <si>
    <t xml:space="preserve">To do</t>
  </si>
  <si>
    <t xml:space="preserve">Updated</t>
  </si>
  <si>
    <t xml:space="preserve">Removed</t>
  </si>
  <si>
    <t xml:space="preserve">Keep as sample</t>
  </si>
  <si>
    <t xml:space="preserve">Done</t>
  </si>
  <si>
    <t xml:space="preserve">Series ID</t>
  </si>
  <si>
    <t xml:space="preserve">Program</t>
  </si>
  <si>
    <t xml:space="preserve">Organizer</t>
  </si>
  <si>
    <t xml:space="preserve">Real program?</t>
  </si>
  <si>
    <t xml:space="preserve">What to do</t>
  </si>
  <si>
    <t xml:space="preserve">Days now</t>
  </si>
  <si>
    <t xml:space="preserve">Start now</t>
  </si>
  <si>
    <t xml:space="preserve">End now</t>
  </si>
  <si>
    <t xml:space="preserve">Weeks now</t>
  </si>
  <si>
    <t xml:space="preserve">Where to check</t>
  </si>
  <si>
    <t xml:space="preserve">New days</t>
  </si>
  <si>
    <t xml:space="preserve">New start</t>
  </si>
  <si>
    <t xml:space="preserve">New end</t>
  </si>
  <si>
    <t xml:space="preserve">New weeks</t>
  </si>
  <si>
    <t xml:space="preserve">New location</t>
  </si>
  <si>
    <t xml:space="preserve">Source URL used</t>
  </si>
  <si>
    <t xml:space="preserve">Status</t>
  </si>
  <si>
    <t xml:space="preserve">Checked by</t>
  </si>
  <si>
    <t xml:space="preserve">Date checked</t>
  </si>
  <si>
    <t xml:space="preserve">Notes</t>
  </si>
  <si>
    <t xml:space="preserve">srwc-yoga</t>
  </si>
  <si>
    <t xml:space="preserve">Yoga Flow (all levels)</t>
  </si>
  <si>
    <t xml:space="preserve">SRWC Group Fitness</t>
  </si>
  <si>
    <t xml:space="preserve">yes</t>
  </si>
  <si>
    <t xml:space="preserve">Find this term's days, times and place on the official page</t>
  </si>
  <si>
    <t xml:space="preserve">Mon;Wed</t>
  </si>
  <si>
    <t xml:space="preserve">12:00</t>
  </si>
  <si>
    <t xml:space="preserve">12:50</t>
  </si>
  <si>
    <t xml:space="preserve">regular</t>
  </si>
  <si>
    <t xml:space="preserve">CSULB Group Fitness: https://www.csulb.edu/node/160991</t>
  </si>
  <si>
    <t xml:space="preserve">srwc-cycle</t>
  </si>
  <si>
    <t xml:space="preserve">Indoor Cycling</t>
  </si>
  <si>
    <t xml:space="preserve">Tue;Thu</t>
  </si>
  <si>
    <t xml:space="preserve">17:30</t>
  </si>
  <si>
    <t xml:space="preserve">18:20</t>
  </si>
  <si>
    <t xml:space="preserve">srwc-zumba</t>
  </si>
  <si>
    <t xml:space="preserve">Zumba Party</t>
  </si>
  <si>
    <t xml:space="preserve">Fri</t>
  </si>
  <si>
    <t xml:space="preserve">13:00</t>
  </si>
  <si>
    <t xml:space="preserve">caps-test-anxiety</t>
  </si>
  <si>
    <t xml:space="preserve">Managing Test Anxiety Workshop</t>
  </si>
  <si>
    <t xml:space="preserve">CAPS</t>
  </si>
  <si>
    <t xml:space="preserve">Tue</t>
  </si>
  <si>
    <t xml:space="preserve">15:00</t>
  </si>
  <si>
    <t xml:space="preserve">16:00</t>
  </si>
  <si>
    <t xml:space="preserve">6;7;8;9;10;15;16</t>
  </si>
  <si>
    <t xml:space="preserve">Group Counseling at CAPS: https://www.csulb.edu/student-affairs/counseling-and-psychological-services/group-counseling-at-caps</t>
  </si>
  <si>
    <t xml:space="preserve">caps-mindful</t>
  </si>
  <si>
    <t xml:space="preserve">Mindfulness Drop-in</t>
  </si>
  <si>
    <t xml:space="preserve">Thu</t>
  </si>
  <si>
    <t xml:space="preserve">12:45</t>
  </si>
  <si>
    <t xml:space="preserve">ocean-stress-less</t>
  </si>
  <si>
    <t xml:space="preserve">Stress Less: Peer Workshop</t>
  </si>
  <si>
    <t xml:space="preserve">Project OCEAN (CAPS peer educators)</t>
  </si>
  <si>
    <t xml:space="preserve">Wed</t>
  </si>
  <si>
    <t xml:space="preserve">17:00</t>
  </si>
  <si>
    <t xml:space="preserve">4;8;9;12;13;16</t>
  </si>
  <si>
    <t xml:space="preserve">Counseling and Psychological Services: https://www.csulb.edu/student-affairs/counseling-and-psychological-services</t>
  </si>
  <si>
    <t xml:space="preserve">asi-puppies</t>
  </si>
  <si>
    <t xml:space="preserve">Pawsitive Vibes: Therapy Puppies</t>
  </si>
  <si>
    <t xml:space="preserve">ASI Beach Pride Events</t>
  </si>
  <si>
    <t xml:space="preserve">11:00</t>
  </si>
  <si>
    <t xml:space="preserve">14:00</t>
  </si>
  <si>
    <t xml:space="preserve">9;17</t>
  </si>
  <si>
    <t xml:space="preserve">ASI event calendar: https://asicsulb.org/corporate/enjoy/event-calendar/11854</t>
  </si>
  <si>
    <t xml:space="preserve">asi-midterm-recharge</t>
  </si>
  <si>
    <t xml:space="preserve">Midterm Recharge: Crafts and Snacks</t>
  </si>
  <si>
    <t xml:space="preserve">9;13</t>
  </si>
  <si>
    <t xml:space="preserve">asi-finals-week</t>
  </si>
  <si>
    <t xml:space="preserve">Finals Week Recharge Station</t>
  </si>
  <si>
    <t xml:space="preserve">Mon;Tue;Wed;Thu;Fri</t>
  </si>
  <si>
    <t xml:space="preserve">10:00</t>
  </si>
  <si>
    <t xml:space="preserve">17</t>
  </si>
  <si>
    <t xml:space="preserve">ASI Beachfront event list: https://mail.asicsulb.org/corporate/connect/beachfront/events?start=27</t>
  </si>
  <si>
    <t xml:space="preserve">garden-walk</t>
  </si>
  <si>
    <t xml:space="preserve">Mindful Walk in the Japanese Garden</t>
  </si>
  <si>
    <t xml:space="preserve">Earl Burns Miller Japanese Garden</t>
  </si>
  <si>
    <t xml:space="preserve">10:45</t>
  </si>
  <si>
    <t xml:space="preserve">Beach Wellness: Student Wellness Resources: https://www.csulb.edu/student-affairs/beach-wellness/student-wellness-resources-0</t>
  </si>
  <si>
    <t xml:space="preserve">board-games</t>
  </si>
  <si>
    <t xml:space="preserve">Board Game Night</t>
  </si>
  <si>
    <t xml:space="preserve">Tabletop Gaming Club (sample club)</t>
  </si>
  <si>
    <t xml:space="preserve">no</t>
  </si>
  <si>
    <t xml:space="preserve">Sample club: replace with a real club or event, or keep and leave it marked (sample)</t>
  </si>
  <si>
    <t xml:space="preserve">18:30</t>
  </si>
  <si>
    <t xml:space="preserve">21:00</t>
  </si>
  <si>
    <t xml:space="preserve">BeachSync (ASI announcement): https://asicsulb.org/corporate/connect/beachfront/announcements/363-welcome-to-the-new-improved-beachsync</t>
  </si>
  <si>
    <t xml:space="preserve">sunrise-hike</t>
  </si>
  <si>
    <t xml:space="preserve">Saturday Sunrise Hike</t>
  </si>
  <si>
    <t xml:space="preserve">Outdoor Adventures (sample club)</t>
  </si>
  <si>
    <t xml:space="preserve">Sat</t>
  </si>
  <si>
    <t xml:space="preserve">07:00</t>
  </si>
  <si>
    <t xml:space="preserve">art-night</t>
  </si>
  <si>
    <t xml:space="preserve">Open Art Studio Night</t>
  </si>
  <si>
    <t xml:space="preserve">Student Art Collective (sample club)</t>
  </si>
  <si>
    <t xml:space="preserve">18:00</t>
  </si>
  <si>
    <t xml:space="preserve">20:00</t>
  </si>
  <si>
    <t xml:space="preserve">bowling</t>
  </si>
  <si>
    <t xml:space="preserve">Free Bowling Hour</t>
  </si>
  <si>
    <t xml:space="preserve">USU Games Center</t>
  </si>
  <si>
    <t xml:space="preserve">noon-jazz</t>
  </si>
  <si>
    <t xml:space="preserve">Noon Jazz in the Courtyard</t>
  </si>
  <si>
    <t xml:space="preserve">Student jazz combo (sample)</t>
  </si>
  <si>
    <t xml:space="preserve">Student Organizations: https://www.csulb.edu/student-affairs/student-life-development/student-organizations</t>
  </si>
  <si>
    <t xml:space="preserve">rest-room</t>
  </si>
  <si>
    <t xml:space="preserve">Rest and Recharge Room</t>
  </si>
  <si>
    <t xml:space="preserve">Beach Balance (SRWC)</t>
  </si>
  <si>
    <t xml:space="preserve">Mon;Tue;Wed;Thu</t>
  </si>
  <si>
    <t xml:space="preserve">8;9;12;13;16;17</t>
  </si>
  <si>
    <t xml:space="preserve">ASI Recreation, Beach Balance: https://www.asirecreation.org/beach-balance/2-uncategorised/710-aquatics-featured-event-group-swim</t>
  </si>
  <si>
    <t xml:space="preserve">sound-bath</t>
  </si>
  <si>
    <t xml:space="preserve">Sound Bath and Vision Boards</t>
  </si>
  <si>
    <t xml:space="preserve">study-jam</t>
  </si>
  <si>
    <t xml:space="preserve">Group Study Jam with Free Coffee</t>
  </si>
  <si>
    <t xml:space="preserve">University Library (sample)</t>
  </si>
  <si>
    <t xml:space="preserve">Sun</t>
  </si>
  <si>
    <t xml:space="preserve">beach-pantry</t>
  </si>
  <si>
    <t xml:space="preserve">ASI Beach Pantry (free groceries)</t>
  </si>
  <si>
    <t xml:space="preserve">ASI Beach Pantry</t>
  </si>
  <si>
    <t xml:space="preserve">library-coloring</t>
  </si>
  <si>
    <t xml:space="preserve">Study Break: Coloring and Tea</t>
  </si>
  <si>
    <t xml:space="preserve">16:30</t>
  </si>
  <si>
    <t xml:space="preserve">30 more CSULB programs to look up</t>
  </si>
  <si>
    <t xml:space="preserve">Real programs named on official CSULB and ASI pages (checked Oct 27, 2026). The pages name them but rarely list this term's dates, so look up each one and fill in the yellow columns. Add the ones that still run to events_catalog.csv.</t>
  </si>
  <si>
    <t xml:space="preserve">Added</t>
  </si>
  <si>
    <t xml:space="preserve">Not running</t>
  </si>
  <si>
    <t xml:space="preserve">Suggested ID</t>
  </si>
  <si>
    <t xml:space="preserve">How often</t>
  </si>
  <si>
    <t xml:space="preserve">Suggested tags</t>
  </si>
  <si>
    <t xml:space="preserve">What the page says</t>
  </si>
  <si>
    <t xml:space="preserve">Source page</t>
  </si>
  <si>
    <t xml:space="preserve">Days</t>
  </si>
  <si>
    <t xml:space="preserve">Start</t>
  </si>
  <si>
    <t xml:space="preserve">End</t>
  </si>
  <si>
    <t xml:space="preserve">Weeks</t>
  </si>
  <si>
    <t xml:space="preserve">Location</t>
  </si>
  <si>
    <t xml:space="preserve">Fits BeachWell?</t>
  </si>
  <si>
    <t xml:space="preserve">farmers-market</t>
  </si>
  <si>
    <t xml:space="preserve">Farmers Market</t>
  </si>
  <si>
    <t xml:space="preserve">ASI</t>
  </si>
  <si>
    <t xml:space="preserve">Every other week</t>
  </si>
  <si>
    <t xml:space="preserve">food;outdoor;social;walk</t>
  </si>
  <si>
    <t xml:space="preserve">Every other Wednesday on Friendship Walk in fall and spring; vendors take cash only</t>
  </si>
  <si>
    <t xml:space="preserve">https://www.csulb.edu/article/things-to-try-before-graduating</t>
  </si>
  <si>
    <t xml:space="preserve">movies-on-house</t>
  </si>
  <si>
    <t xml:space="preserve">Movies on the House</t>
  </si>
  <si>
    <t xml:space="preserve">Recurring</t>
  </si>
  <si>
    <t xml:space="preserve">movies;social;relax;free</t>
  </si>
  <si>
    <t xml:space="preserve">Free sneak-peek film screenings with a student ID</t>
  </si>
  <si>
    <t xml:space="preserve">speed-friending</t>
  </si>
  <si>
    <t xml:space="preserve">Speed Friending</t>
  </si>
  <si>
    <t xml:space="preserve">Check dates</t>
  </si>
  <si>
    <t xml:space="preserve">social;meet-people;friends</t>
  </si>
  <si>
    <t xml:space="preserve">Named on the Beach Pride Events page</t>
  </si>
  <si>
    <t xml:space="preserve">https://asicsulb.org/corporate/enjoy/beach-pride-center</t>
  </si>
  <si>
    <t xml:space="preserve">karaoke-night</t>
  </si>
  <si>
    <t xml:space="preserve">Karaoke Night</t>
  </si>
  <si>
    <t xml:space="preserve">music;social;fun;night</t>
  </si>
  <si>
    <t xml:space="preserve">diy-craft</t>
  </si>
  <si>
    <t xml:space="preserve">DIY Craft Series</t>
  </si>
  <si>
    <t xml:space="preserve">Series</t>
  </si>
  <si>
    <t xml:space="preserve">art;crafts;quiet;destress</t>
  </si>
  <si>
    <t xml:space="preserve">noontime-events</t>
  </si>
  <si>
    <t xml:space="preserve">Noontime Events</t>
  </si>
  <si>
    <t xml:space="preserve">music;lunch;social;drop-in</t>
  </si>
  <si>
    <t xml:space="preserve">astronomy-night</t>
  </si>
  <si>
    <t xml:space="preserve">Astronomy Night</t>
  </si>
  <si>
    <t xml:space="preserve">outdoor;science;night;quiet</t>
  </si>
  <si>
    <t xml:space="preserve">murder-mystery</t>
  </si>
  <si>
    <t xml:space="preserve">Murder Mystery</t>
  </si>
  <si>
    <t xml:space="preserve">games;social;friends</t>
  </si>
  <si>
    <t xml:space="preserve">culture-fest</t>
  </si>
  <si>
    <t xml:space="preserve">Culture Fest</t>
  </si>
  <si>
    <t xml:space="preserve">Annual</t>
  </si>
  <si>
    <t xml:space="preserve">culture;food;music;social;crowd</t>
  </si>
  <si>
    <t xml:space="preserve">night-narratives</t>
  </si>
  <si>
    <t xml:space="preserve">Night of Narratives</t>
  </si>
  <si>
    <t xml:space="preserve">storytelling;quiet;culture</t>
  </si>
  <si>
    <t xml:space="preserve">beach-bash</t>
  </si>
  <si>
    <t xml:space="preserve">ASI Beach Bash</t>
  </si>
  <si>
    <t xml:space="preserve">music;crowd;social;fun</t>
  </si>
  <si>
    <t xml:space="preserve">Campus-wide event; check if it falls this semester</t>
  </si>
  <si>
    <t xml:space="preserve">evening-with</t>
  </si>
  <si>
    <t xml:space="preserve">An Evening With</t>
  </si>
  <si>
    <t xml:space="preserve">talk;speaker;culture</t>
  </si>
  <si>
    <t xml:space="preserve">Campus-wide speaker event; check if it falls this semester</t>
  </si>
  <si>
    <t xml:space="preserve">finals-week-asi</t>
  </si>
  <si>
    <t xml:space="preserve">Finals Week activities</t>
  </si>
  <si>
    <t xml:space="preserve">ASI (USU and SRWC)</t>
  </si>
  <si>
    <t xml:space="preserve">Finals weeks</t>
  </si>
  <si>
    <t xml:space="preserve">destress;finals;food;relax</t>
  </si>
  <si>
    <t xml:space="preserve">De-stress activities each fall and spring finals week; may replace or update asi-finals-week</t>
  </si>
  <si>
    <t xml:space="preserve">https://www.asicsulb.org/finals</t>
  </si>
  <si>
    <t xml:space="preserve">rock-wall</t>
  </si>
  <si>
    <t xml:space="preserve">Rock Wall (open climbing)</t>
  </si>
  <si>
    <t xml:space="preserve">ASI Rock and Outdoor Adventure</t>
  </si>
  <si>
    <t xml:space="preserve">Open hours</t>
  </si>
  <si>
    <t xml:space="preserve">climbing;fitness;social;active</t>
  </si>
  <si>
    <t xml:space="preserve">Indoor climbing wall for all levels; see Hours page</t>
  </si>
  <si>
    <t xml:space="preserve">https://asirecreation.org/rock-outdoor</t>
  </si>
  <si>
    <t xml:space="preserve">belay-class</t>
  </si>
  <si>
    <t xml:space="preserve">Belay and bouldering classes</t>
  </si>
  <si>
    <t xml:space="preserve">Classes</t>
  </si>
  <si>
    <t xml:space="preserve">climbing;learn;fitness</t>
  </si>
  <si>
    <t xml:space="preserve">Belay classes, bouldering and top rope climbing</t>
  </si>
  <si>
    <t xml:space="preserve">oa-trips</t>
  </si>
  <si>
    <t xml:space="preserve">Outdoor Adventures trips</t>
  </si>
  <si>
    <t xml:space="preserve">Trips</t>
  </si>
  <si>
    <t xml:space="preserve">outdoor;hiking;nature;friends</t>
  </si>
  <si>
    <t xml:space="preserve">Hiking, outdoor rock climbing, slacklining; may replace the sample sunrise-hike row</t>
  </si>
  <si>
    <t xml:space="preserve">intramurals</t>
  </si>
  <si>
    <t xml:space="preserve">Intramurals and open rec</t>
  </si>
  <si>
    <t xml:space="preserve">ASI Recreation</t>
  </si>
  <si>
    <t xml:space="preserve">Leagues and drop-in</t>
  </si>
  <si>
    <t xml:space="preserve">sports;team;competition;social</t>
  </si>
  <si>
    <t xml:space="preserve">Low-cost leagues, tournaments and open recreation</t>
  </si>
  <si>
    <t xml:space="preserve">https://www.asicsulb.org/corporate/discover/srwc</t>
  </si>
  <si>
    <t xml:space="preserve">aquatics-events</t>
  </si>
  <si>
    <t xml:space="preserve">Aquatics events (inner tube water polo, paddleboard and kayak races)</t>
  </si>
  <si>
    <t xml:space="preserve">ASI Aquatics</t>
  </si>
  <si>
    <t xml:space="preserve">swimming;water;fun;social</t>
  </si>
  <si>
    <t xml:space="preserve">Listed on the SRWC page</t>
  </si>
  <si>
    <t xml:space="preserve">pool-movies</t>
  </si>
  <si>
    <t xml:space="preserve">Outdoor movies at the pool</t>
  </si>
  <si>
    <t xml:space="preserve">movies;water;relax;night</t>
  </si>
  <si>
    <t xml:space="preserve">Listed under Aquatics on the SRWC page</t>
  </si>
  <si>
    <t xml:space="preserve">group-swim</t>
  </si>
  <si>
    <t xml:space="preserve">Group Swim</t>
  </si>
  <si>
    <t xml:space="preserve">Featured event</t>
  </si>
  <si>
    <t xml:space="preserve">swimming;fitness;social</t>
  </si>
  <si>
    <t xml:space="preserve">Aquatics featured event page</t>
  </si>
  <si>
    <t xml:space="preserve">https://www.asirecreation.org/beach-balance/2-uncategorised/710-aquatics-featured-event-group-swim</t>
  </si>
  <si>
    <t xml:space="preserve">coffee-trainer</t>
  </si>
  <si>
    <t xml:space="preserve">Coffee with a Trainer</t>
  </si>
  <si>
    <t xml:space="preserve">ASI Recreation (Fitness)</t>
  </si>
  <si>
    <t xml:space="preserve">fitness;coffee;learn;small-group</t>
  </si>
  <si>
    <t xml:space="preserve">Fitness featured event page</t>
  </si>
  <si>
    <t xml:space="preserve">https://www.asirecreation.org/beach-balance/54-fitness/featured-events/408-coffee-with-a-trainer</t>
  </si>
  <si>
    <t xml:space="preserve">womxn-ally-night</t>
  </si>
  <si>
    <t xml:space="preserve">Womxn and Ally Night</t>
  </si>
  <si>
    <t xml:space="preserve">fitness;community;safe-space</t>
  </si>
  <si>
    <t xml:space="preserve">Rec featured event page</t>
  </si>
  <si>
    <t xml:space="preserve">https://www.asirecreation.org/beach-balance/25-fitness/639-womxn-and-ally-night-fall</t>
  </si>
  <si>
    <t xml:space="preserve">inclusive-rec</t>
  </si>
  <si>
    <t xml:space="preserve">Inclusive rec (no-barriers climbing, goalball)</t>
  </si>
  <si>
    <t xml:space="preserve">ASI Recreation (Inclusive)</t>
  </si>
  <si>
    <t xml:space="preserve">inclusive;adaptive;sports;climbing</t>
  </si>
  <si>
    <t xml:space="preserve">Adaptive programs listed on the SRWC page</t>
  </si>
  <si>
    <t xml:space="preserve">bb-stress</t>
  </si>
  <si>
    <t xml:space="preserve">Beach Balance stress management and biofeedback</t>
  </si>
  <si>
    <t xml:space="preserve">Beach Balance (SRWC and USU)</t>
  </si>
  <si>
    <t xml:space="preserve">By appointment or workshop</t>
  </si>
  <si>
    <t xml:space="preserve">stress;biofeedback;wellness;quiet</t>
  </si>
  <si>
    <t xml:space="preserve">Education on nutrition, stress management and biofeedback</t>
  </si>
  <si>
    <t xml:space="preserve">bb-relax-station</t>
  </si>
  <si>
    <t xml:space="preserve">USU Beach Balance Relaxation Station</t>
  </si>
  <si>
    <t xml:space="preserve">Beach Balance (USU)</t>
  </si>
  <si>
    <t xml:space="preserve">relax;quiet;destress;drop-in</t>
  </si>
  <si>
    <t xml:space="preserve">Relaxation station page on ASI Recreation</t>
  </si>
  <si>
    <t xml:space="preserve">https://asirecreation.org/fitness/28-beach-balance/649-usu-beach-balance-relaxation-station</t>
  </si>
  <si>
    <t xml:space="preserve">bliss-beach</t>
  </si>
  <si>
    <t xml:space="preserve">Bliss @ the Beach mindfulness course</t>
  </si>
  <si>
    <t xml:space="preserve">Beach Wellness (contact wellness@csulb.edu)</t>
  </si>
  <si>
    <t xml:space="preserve">4-session course</t>
  </si>
  <si>
    <t xml:space="preserve">mindfulness;meditation;quiet;small-group</t>
  </si>
  <si>
    <t xml:space="preserve">Four 75-minute sessions; ask wellness@csulb.edu for dates and place</t>
  </si>
  <si>
    <t xml:space="preserve">https://www.csulb.edu/node/515706</t>
  </si>
  <si>
    <t xml:space="preserve">game-lounge</t>
  </si>
  <si>
    <t xml:space="preserve">USU Game Lounge (billiards, table tennis, board games)</t>
  </si>
  <si>
    <t xml:space="preserve">University Student Union</t>
  </si>
  <si>
    <t xml:space="preserve">games;social;bowling;billiards</t>
  </si>
  <si>
    <t xml:space="preserve">Low student prices; may update the bowling row</t>
  </si>
  <si>
    <t xml:space="preserve">stick-lounge</t>
  </si>
  <si>
    <t xml:space="preserve">USU Stick Lounge and e-sports arena</t>
  </si>
  <si>
    <t xml:space="preserve">video-games;esports;social</t>
  </si>
  <si>
    <t xml:space="preserve">Latest consoles; e-sports arena can be reserved</t>
  </si>
  <si>
    <t xml:space="preserve">https://www.csulb.edu/news/article/eight-free-or-low-cost-things-to-do-at-csulb-during-the-summer</t>
  </si>
  <si>
    <t xml:space="preserve">art-museum</t>
  </si>
  <si>
    <t xml:space="preserve">Kleefeld Contemporary Art Museum</t>
  </si>
  <si>
    <t xml:space="preserve">CSULB</t>
  </si>
  <si>
    <t xml:space="preserve">art;quiet;museum;free</t>
  </si>
  <si>
    <t xml:space="preserve">Free admission</t>
  </si>
  <si>
    <t xml:space="preserve">art-park-tour</t>
  </si>
  <si>
    <t xml:space="preserve">Art Park self-guided sculpture tour</t>
  </si>
  <si>
    <t xml:space="preserve">Any time</t>
  </si>
  <si>
    <t xml:space="preserve">art;walk;outdoor;quiet</t>
  </si>
  <si>
    <t xml:space="preserve">Self-guided outdoor sculpture tour across campus</t>
  </si>
  <si>
    <t xml:space="preserve">Where to find current CSULB programs</t>
  </si>
  <si>
    <t xml:space="preserve">Copy the details by hand from the official pages. Links checked Oct 27, 2026; pages move, so search the site if one is gone.</t>
  </si>
  <si>
    <t xml:space="preserve">Program type</t>
  </si>
  <si>
    <t xml:space="preserve">Page</t>
  </si>
  <si>
    <t xml:space="preserve">Link</t>
  </si>
  <si>
    <t xml:space="preserve">ASI events (Beach Pride, therapy puppies, finals week)</t>
  </si>
  <si>
    <t xml:space="preserve">ASI event calendar</t>
  </si>
  <si>
    <t xml:space="preserve">https://asicsulb.org/corporate/enjoy/event-calendar/11854</t>
  </si>
  <si>
    <t xml:space="preserve">ASI events (list view)</t>
  </si>
  <si>
    <t xml:space="preserve">ASI Beachfront event list</t>
  </si>
  <si>
    <t xml:space="preserve">https://mail.asicsulb.org/corporate/connect/beachfront/events?start=27</t>
  </si>
  <si>
    <t xml:space="preserve">SRWC group fitness, Beach Balance</t>
  </si>
  <si>
    <t xml:space="preserve">ASI Recreation, Beach Balance</t>
  </si>
  <si>
    <t xml:space="preserve">SRWC group fitness</t>
  </si>
  <si>
    <t xml:space="preserve">CSULB Group Fitness</t>
  </si>
  <si>
    <t xml:space="preserve">https://www.csulb.edu/node/160991</t>
  </si>
  <si>
    <t xml:space="preserve">CAPS workshops and groups</t>
  </si>
  <si>
    <t xml:space="preserve">Group Counseling at CAPS</t>
  </si>
  <si>
    <t xml:space="preserve">https://www.csulb.edu/student-affairs/counseling-and-psychological-services/group-counseling-at-caps</t>
  </si>
  <si>
    <t xml:space="preserve">CAPS (general, Project OCEAN)</t>
  </si>
  <si>
    <t xml:space="preserve">Counseling and Psychological Services</t>
  </si>
  <si>
    <t xml:space="preserve">https://www.csulb.edu/student-affairs/counseling-and-psychological-services</t>
  </si>
  <si>
    <t xml:space="preserve">Other wellness programs (Beach Pantry, garden, library)</t>
  </si>
  <si>
    <t xml:space="preserve">Beach Wellness: Student Wellness Resources</t>
  </si>
  <si>
    <t xml:space="preserve">https://www.csulb.edu/student-affairs/beach-wellness/student-wellness-resources-0</t>
  </si>
  <si>
    <t xml:space="preserve">Clubs</t>
  </si>
  <si>
    <t xml:space="preserve">Student Organizations</t>
  </si>
  <si>
    <t xml:space="preserve">https://www.csulb.edu/student-affairs/student-life-development/student-organizations</t>
  </si>
  <si>
    <t xml:space="preserve">Clubs and their events</t>
  </si>
  <si>
    <t xml:space="preserve">BeachSync (ASI announcement)</t>
  </si>
  <si>
    <t xml:space="preserve">https://asicsulb.org/corporate/connect/beachfront/announcements/363-welcome-to-the-new-improved-beachsync</t>
  </si>
  <si>
    <t xml:space="preserve">Beach Pride Events program list</t>
  </si>
  <si>
    <t xml:space="preserve">ASI Beach Pride Center</t>
  </si>
  <si>
    <t xml:space="preserve">Rock wall, trips, rentals</t>
  </si>
  <si>
    <t xml:space="preserve">SRWC programs (fitness, aquatics, intramurals, inclusive)</t>
  </si>
  <si>
    <t xml:space="preserve">ASI SRWC</t>
  </si>
  <si>
    <t xml:space="preserve">Finals week activities</t>
  </si>
  <si>
    <t xml:space="preserve">ASI finals page</t>
  </si>
  <si>
    <t xml:space="preserve">Mindfulness course</t>
  </si>
  <si>
    <t xml:space="preserve">Bliss @ the Beach</t>
  </si>
  <si>
    <t xml:space="preserve">Campus places (Game Lounge, art museum, more)</t>
  </si>
  <si>
    <t xml:space="preserve">Things to try before graduating</t>
  </si>
  <si>
    <t xml:space="preserve">Free or low-cost places on campus</t>
  </si>
  <si>
    <t xml:space="preserve">Eight free or low-cost things to do at CSULB</t>
  </si>
  <si>
    <t xml:space="preserve">Japanese Garden (reservations)</t>
  </si>
  <si>
    <t xml:space="preserve">https://csulb.edu/jgarden</t>
  </si>
  <si>
    <t xml:space="preserve">How to fill in the yellow columns</t>
  </si>
  <si>
    <t xml:space="preserve">Column</t>
  </si>
  <si>
    <t xml:space="preserve">Format</t>
  </si>
  <si>
    <t xml:space="preserve">Example (format only)</t>
  </si>
  <si>
    <t xml:space="preserve">Day names separated by semicolons</t>
  </si>
  <si>
    <t xml:space="preserve">New start / New end</t>
  </si>
  <si>
    <t xml:space="preserve">24-hour time, HH:MM</t>
  </si>
  <si>
    <t xml:space="preserve">12:00 and 12:50</t>
  </si>
  <si>
    <t xml:space="preserve">'regular' if it runs every week; otherwise weeks of term separated by semicolons (week 1 starts Mon Aug 24, 2026)</t>
  </si>
  <si>
    <t xml:space="preserve">regular   or   8;9;16</t>
  </si>
  <si>
    <t xml:space="preserve">Building and room as the page writes it</t>
  </si>
  <si>
    <t xml:space="preserve">SRWC Studio B</t>
  </si>
  <si>
    <t xml:space="preserve">The exact page you copied the details from</t>
  </si>
  <si>
    <t xml:space="preserve">https://www.csulb.edu/...</t>
  </si>
  <si>
    <t xml:space="preserve">Pick from the list: To do, Updated, Removed, Keep as sample</t>
  </si>
  <si>
    <t xml:space="preserve">The day you looked at the page</t>
  </si>
  <si>
    <t xml:space="preserve">2026-10-27</t>
  </si>
  <si>
    <t xml:space="preserve">Legend</t>
  </si>
  <si>
    <t xml:space="preserve">Yellow cells: fill these in. Grey cells: what the catalog says now. Leave the other columns as they are.</t>
  </si>
  <si>
    <t xml:space="preserve">After you finish</t>
  </si>
  <si>
    <t xml:space="preserve">1. Copy the new values into backend/data/events_catalog.csv (same columns; set is_real_program to yes for real programs).</t>
  </si>
  <si>
    <t xml:space="preserve">2. From the backend folder, run: python scripts/seed.py --reset</t>
  </si>
  <si>
    <t xml:space="preserve">3. Open the Recharge tab and check that the picks look right.</t>
  </si>
  <si>
    <t xml:space="preserve">4. If most rows are now real, change the 'Sample event data' note on the Recharge page (frontend/app.js).</t>
  </si>
  <si>
    <t xml:space="preserve">Tags (the tags column in the CSV) drive the matching, so describe what the event is like, e.g. yoga;mindfulness;destress.</t>
  </si>
  <si>
    <t xml:space="preserve">New programs tab</t>
  </si>
  <si>
    <t xml:space="preserve">Same formats as above. 'Fits BeachWell?' = yes if it is a short break a stressed student could join (not a job fair or a full-day trip). Status: Added once it is in events_catalog.csv, Not running if you can't find it this term.</t>
  </si>
</sst>
</file>

<file path=xl/styles.xml><?xml version="1.0" encoding="utf-8"?>
<styleSheet xmlns="http://schemas.openxmlformats.org/spreadsheetml/2006/main">
  <numFmts count="3">
    <numFmt numFmtId="164" formatCode="General"/>
    <numFmt numFmtId="165" formatCode="0%"/>
    <numFmt numFmtId="166" formatCode="yyyy\-mm\-dd"/>
  </numFmts>
  <fonts count="10">
    <font>
      <sz val="11"/>
      <color theme="1"/>
      <name val="Calibri"/>
      <family val="2"/>
      <charset val="1"/>
    </font>
    <font>
      <sz val="10"/>
      <name val="Arial"/>
      <family val="0"/>
    </font>
    <font>
      <sz val="10"/>
      <name val="Arial"/>
      <family val="0"/>
    </font>
    <font>
      <sz val="10"/>
      <name val="Arial"/>
      <family val="0"/>
    </font>
    <font>
      <b val="true"/>
      <sz val="14"/>
      <color rgb="FF12324A"/>
      <name val="Arial"/>
      <family val="0"/>
      <charset val="1"/>
    </font>
    <font>
      <sz val="10"/>
      <color rgb="FF4A6274"/>
      <name val="Arial"/>
      <family val="0"/>
      <charset val="1"/>
    </font>
    <font>
      <b val="true"/>
      <sz val="10"/>
      <name val="Arial"/>
      <family val="0"/>
      <charset val="1"/>
    </font>
    <font>
      <b val="true"/>
      <sz val="10"/>
      <color rgb="FFFFFFFF"/>
      <name val="Arial"/>
      <family val="0"/>
      <charset val="1"/>
    </font>
    <font>
      <sz val="10"/>
      <name val="Arial"/>
      <family val="0"/>
      <charset val="1"/>
    </font>
    <font>
      <u val="single"/>
      <sz val="10"/>
      <color rgb="FF2F6E9E"/>
      <name val="Arial"/>
      <family val="0"/>
      <charset val="1"/>
    </font>
  </fonts>
  <fills count="5">
    <fill>
      <patternFill patternType="none"/>
    </fill>
    <fill>
      <patternFill patternType="gray125"/>
    </fill>
    <fill>
      <patternFill patternType="solid">
        <fgColor rgb="FF12324A"/>
        <bgColor rgb="FF333333"/>
      </patternFill>
    </fill>
    <fill>
      <patternFill patternType="solid">
        <fgColor rgb="FFEDF2F1"/>
        <bgColor rgb="FFDDF0E6"/>
      </patternFill>
    </fill>
    <fill>
      <patternFill patternType="solid">
        <fgColor rgb="FFFFF2B3"/>
        <bgColor rgb="FFFFFF99"/>
      </patternFill>
    </fill>
  </fills>
  <borders count="2">
    <border diagonalUp="false" diagonalDown="false">
      <left/>
      <right/>
      <top/>
      <bottom/>
      <diagonal/>
    </border>
    <border diagonalUp="false" diagonalDown="false">
      <left style="thin">
        <color rgb="FFC9D6D8"/>
      </left>
      <right style="thin">
        <color rgb="FFC9D6D8"/>
      </right>
      <top style="thin">
        <color rgb="FFC9D6D8"/>
      </top>
      <bottom style="thin">
        <color rgb="FFC9D6D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general" vertical="top" textRotation="0" wrapText="true" indent="0" shrinkToFit="false"/>
      <protection locked="true" hidden="false"/>
    </xf>
    <xf numFmtId="166" fontId="8" fillId="4" borderId="1"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8" fillId="4"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2324A"/>
          <bgColor rgb="FF000000"/>
        </patternFill>
      </fill>
    </dxf>
    <dxf>
      <fill>
        <patternFill patternType="solid">
          <bgColor rgb="FF000000"/>
        </patternFill>
      </fill>
    </dxf>
    <dxf>
      <fill>
        <patternFill patternType="solid">
          <fgColor rgb="FFFFFFFF"/>
          <bgColor rgb="FF000000"/>
        </patternFill>
      </fill>
    </dxf>
    <dxf>
      <fill>
        <patternFill patternType="solid">
          <fgColor rgb="FFEDF2F1"/>
          <bgColor rgb="FF000000"/>
        </patternFill>
      </fill>
    </dxf>
    <dxf>
      <fill>
        <patternFill patternType="solid">
          <fgColor rgb="FF2F6E9E"/>
          <bgColor rgb="FF000000"/>
        </patternFill>
      </fill>
    </dxf>
    <dxf>
      <fill>
        <patternFill patternType="solid">
          <fgColor rgb="FFFFF2B3"/>
          <bgColor rgb="FF000000"/>
        </patternFill>
      </fill>
    </dxf>
    <dxf>
      <fill>
        <patternFill>
          <bgColor rgb="FFDDF0E6"/>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B3"/>
      <rgbColor rgb="FFDDF0E6"/>
      <rgbColor rgb="FF660066"/>
      <rgbColor rgb="FFFF8080"/>
      <rgbColor rgb="FF2F6E9E"/>
      <rgbColor rgb="FFC9D6D8"/>
      <rgbColor rgb="FF000080"/>
      <rgbColor rgb="FFFF00FF"/>
      <rgbColor rgb="FFFFFF00"/>
      <rgbColor rgb="FF00FFFF"/>
      <rgbColor rgb="FF800080"/>
      <rgbColor rgb="FF800000"/>
      <rgbColor rgb="FF008080"/>
      <rgbColor rgb="FF0000FF"/>
      <rgbColor rgb="FF00CCFF"/>
      <rgbColor rgb="FFEDF2F1"/>
      <rgbColor rgb="FFCCFFCC"/>
      <rgbColor rgb="FFFFFF99"/>
      <rgbColor rgb="FF99CCFF"/>
      <rgbColor rgb="FFFF99CC"/>
      <rgbColor rgb="FFCC99FF"/>
      <rgbColor rgb="FFFFCC99"/>
      <rgbColor rgb="FF3366FF"/>
      <rgbColor rgb="FF33CCCC"/>
      <rgbColor rgb="FF99CC00"/>
      <rgbColor rgb="FFFFCC00"/>
      <rgbColor rgb="FFFF9900"/>
      <rgbColor rgb="FFFF6600"/>
      <rgbColor rgb="FF4A6274"/>
      <rgbColor rgb="FF969696"/>
      <rgbColor rgb="FF12324A"/>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www.csulb.edu/node/160991" TargetMode="External"/><Relationship Id="rId2" Type="http://schemas.openxmlformats.org/officeDocument/2006/relationships/hyperlink" Target="https://www.csulb.edu/node/160991" TargetMode="External"/><Relationship Id="rId3" Type="http://schemas.openxmlformats.org/officeDocument/2006/relationships/hyperlink" Target="https://www.csulb.edu/node/160991" TargetMode="External"/><Relationship Id="rId4" Type="http://schemas.openxmlformats.org/officeDocument/2006/relationships/hyperlink" Target="https://www.csulb.edu/student-affairs/counseling-and-psychological-services/group-counseling-at-caps" TargetMode="External"/><Relationship Id="rId5" Type="http://schemas.openxmlformats.org/officeDocument/2006/relationships/hyperlink" Target="https://www.csulb.edu/student-affairs/counseling-and-psychological-services/group-counseling-at-caps" TargetMode="External"/><Relationship Id="rId6" Type="http://schemas.openxmlformats.org/officeDocument/2006/relationships/hyperlink" Target="https://www.csulb.edu/student-affairs/counseling-and-psychological-services" TargetMode="External"/><Relationship Id="rId7" Type="http://schemas.openxmlformats.org/officeDocument/2006/relationships/hyperlink" Target="https://asicsulb.org/corporate/enjoy/event-calendar/11854" TargetMode="External"/><Relationship Id="rId8" Type="http://schemas.openxmlformats.org/officeDocument/2006/relationships/hyperlink" Target="https://asicsulb.org/corporate/enjoy/event-calendar/11854" TargetMode="External"/><Relationship Id="rId9" Type="http://schemas.openxmlformats.org/officeDocument/2006/relationships/hyperlink" Target="https://mail.asicsulb.org/corporate/connect/beachfront/events?start=27" TargetMode="External"/><Relationship Id="rId10" Type="http://schemas.openxmlformats.org/officeDocument/2006/relationships/hyperlink" Target="https://www.csulb.edu/student-affairs/beach-wellness/student-wellness-resources-0" TargetMode="External"/><Relationship Id="rId11" Type="http://schemas.openxmlformats.org/officeDocument/2006/relationships/hyperlink" Target="https://asicsulb.org/corporate/connect/beachfront/announcements/363-welcome-to-the-new-improved-beachsync" TargetMode="External"/><Relationship Id="rId12" Type="http://schemas.openxmlformats.org/officeDocument/2006/relationships/hyperlink" Target="https://asicsulb.org/corporate/connect/beachfront/announcements/363-welcome-to-the-new-improved-beachsync" TargetMode="External"/><Relationship Id="rId13" Type="http://schemas.openxmlformats.org/officeDocument/2006/relationships/hyperlink" Target="https://asicsulb.org/corporate/connect/beachfront/announcements/363-welcome-to-the-new-improved-beachsync" TargetMode="External"/><Relationship Id="rId14" Type="http://schemas.openxmlformats.org/officeDocument/2006/relationships/hyperlink" Target="https://asicsulb.org/corporate/enjoy/event-calendar/11854" TargetMode="External"/><Relationship Id="rId15" Type="http://schemas.openxmlformats.org/officeDocument/2006/relationships/hyperlink" Target="https://www.csulb.edu/student-affairs/student-life-development/student-organizations" TargetMode="External"/><Relationship Id="rId16" Type="http://schemas.openxmlformats.org/officeDocument/2006/relationships/hyperlink" Target="https://www.asirecreation.org/beach-balance/2-uncategorised/710-aquatics-featured-event-group-swim" TargetMode="External"/><Relationship Id="rId17" Type="http://schemas.openxmlformats.org/officeDocument/2006/relationships/hyperlink" Target="https://asicsulb.org/corporate/enjoy/event-calendar/11854" TargetMode="External"/><Relationship Id="rId18" Type="http://schemas.openxmlformats.org/officeDocument/2006/relationships/hyperlink" Target="https://www.csulb.edu/student-affairs/beach-wellness/student-wellness-resources-0" TargetMode="External"/><Relationship Id="rId19" Type="http://schemas.openxmlformats.org/officeDocument/2006/relationships/hyperlink" Target="https://www.csulb.edu/student-affairs/beach-wellness/student-wellness-resources-0" TargetMode="External"/><Relationship Id="rId20" Type="http://schemas.openxmlformats.org/officeDocument/2006/relationships/hyperlink" Target="https://www.csulb.edu/student-affairs/beach-wellness/student-wellness-resources-0" TargetMode="External"/><Relationship Id="rId2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csulb.edu/article/things-to-try-before-graduating" TargetMode="External"/><Relationship Id="rId2" Type="http://schemas.openxmlformats.org/officeDocument/2006/relationships/hyperlink" Target="https://www.csulb.edu/article/things-to-try-before-graduating" TargetMode="External"/><Relationship Id="rId3" Type="http://schemas.openxmlformats.org/officeDocument/2006/relationships/hyperlink" Target="https://asicsulb.org/corporate/enjoy/beach-pride-center" TargetMode="External"/><Relationship Id="rId4" Type="http://schemas.openxmlformats.org/officeDocument/2006/relationships/hyperlink" Target="https://asicsulb.org/corporate/enjoy/beach-pride-center" TargetMode="External"/><Relationship Id="rId5" Type="http://schemas.openxmlformats.org/officeDocument/2006/relationships/hyperlink" Target="https://asicsulb.org/corporate/enjoy/beach-pride-center" TargetMode="External"/><Relationship Id="rId6" Type="http://schemas.openxmlformats.org/officeDocument/2006/relationships/hyperlink" Target="https://asicsulb.org/corporate/enjoy/beach-pride-center" TargetMode="External"/><Relationship Id="rId7" Type="http://schemas.openxmlformats.org/officeDocument/2006/relationships/hyperlink" Target="https://asicsulb.org/corporate/enjoy/beach-pride-center" TargetMode="External"/><Relationship Id="rId8" Type="http://schemas.openxmlformats.org/officeDocument/2006/relationships/hyperlink" Target="https://asicsulb.org/corporate/enjoy/beach-pride-center" TargetMode="External"/><Relationship Id="rId9" Type="http://schemas.openxmlformats.org/officeDocument/2006/relationships/hyperlink" Target="https://asicsulb.org/corporate/enjoy/beach-pride-center" TargetMode="External"/><Relationship Id="rId10" Type="http://schemas.openxmlformats.org/officeDocument/2006/relationships/hyperlink" Target="https://asicsulb.org/corporate/enjoy/beach-pride-center" TargetMode="External"/><Relationship Id="rId11" Type="http://schemas.openxmlformats.org/officeDocument/2006/relationships/hyperlink" Target="https://asicsulb.org/corporate/enjoy/beach-pride-center" TargetMode="External"/><Relationship Id="rId12" Type="http://schemas.openxmlformats.org/officeDocument/2006/relationships/hyperlink" Target="https://asicsulb.org/corporate/enjoy/beach-pride-center" TargetMode="External"/><Relationship Id="rId13" Type="http://schemas.openxmlformats.org/officeDocument/2006/relationships/hyperlink" Target="https://www.asicsulb.org/finals" TargetMode="External"/><Relationship Id="rId14" Type="http://schemas.openxmlformats.org/officeDocument/2006/relationships/hyperlink" Target="https://asirecreation.org/rock-outdoor" TargetMode="External"/><Relationship Id="rId15" Type="http://schemas.openxmlformats.org/officeDocument/2006/relationships/hyperlink" Target="https://asirecreation.org/rock-outdoor" TargetMode="External"/><Relationship Id="rId16" Type="http://schemas.openxmlformats.org/officeDocument/2006/relationships/hyperlink" Target="https://asirecreation.org/rock-outdoor" TargetMode="External"/><Relationship Id="rId17" Type="http://schemas.openxmlformats.org/officeDocument/2006/relationships/hyperlink" Target="https://www.asicsulb.org/corporate/discover/srwc" TargetMode="External"/><Relationship Id="rId18" Type="http://schemas.openxmlformats.org/officeDocument/2006/relationships/hyperlink" Target="https://www.asicsulb.org/corporate/discover/srwc" TargetMode="External"/><Relationship Id="rId19" Type="http://schemas.openxmlformats.org/officeDocument/2006/relationships/hyperlink" Target="https://www.asicsulb.org/corporate/discover/srwc" TargetMode="External"/><Relationship Id="rId20" Type="http://schemas.openxmlformats.org/officeDocument/2006/relationships/hyperlink" Target="https://www.asirecreation.org/beach-balance/2-uncategorised/710-aquatics-featured-event-group-swim" TargetMode="External"/><Relationship Id="rId21" Type="http://schemas.openxmlformats.org/officeDocument/2006/relationships/hyperlink" Target="https://www.asirecreation.org/beach-balance/54-fitness/featured-events/408-coffee-with-a-trainer" TargetMode="External"/><Relationship Id="rId22" Type="http://schemas.openxmlformats.org/officeDocument/2006/relationships/hyperlink" Target="https://www.asirecreation.org/beach-balance/25-fitness/639-womxn-and-ally-night-fall" TargetMode="External"/><Relationship Id="rId23" Type="http://schemas.openxmlformats.org/officeDocument/2006/relationships/hyperlink" Target="https://www.asicsulb.org/corporate/discover/srwc" TargetMode="External"/><Relationship Id="rId24" Type="http://schemas.openxmlformats.org/officeDocument/2006/relationships/hyperlink" Target="https://www.asicsulb.org/corporate/discover/srwc" TargetMode="External"/><Relationship Id="rId25" Type="http://schemas.openxmlformats.org/officeDocument/2006/relationships/hyperlink" Target="https://asirecreation.org/fitness/28-beach-balance/649-usu-beach-balance-relaxation-station" TargetMode="External"/><Relationship Id="rId26" Type="http://schemas.openxmlformats.org/officeDocument/2006/relationships/hyperlink" Target="https://www.csulb.edu/node/515706" TargetMode="External"/><Relationship Id="rId27" Type="http://schemas.openxmlformats.org/officeDocument/2006/relationships/hyperlink" Target="https://www.csulb.edu/article/things-to-try-before-graduating" TargetMode="External"/><Relationship Id="rId28" Type="http://schemas.openxmlformats.org/officeDocument/2006/relationships/hyperlink" Target="https://www.csulb.edu/news/article/eight-free-or-low-cost-things-to-do-at-csulb-during-the-summer" TargetMode="External"/><Relationship Id="rId29" Type="http://schemas.openxmlformats.org/officeDocument/2006/relationships/hyperlink" Target="https://www.csulb.edu/news/article/eight-free-or-low-cost-things-to-do-at-csulb-during-the-summer" TargetMode="External"/><Relationship Id="rId30" Type="http://schemas.openxmlformats.org/officeDocument/2006/relationships/hyperlink" Target="https://www.csulb.edu/news/article/eight-free-or-low-cost-things-to-do-at-csulb-during-the-summer" TargetMode="External"/><Relationship Id="rId3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hyperlink" Target="https://asicsulb.org/corporate/enjoy/event-calendar/11854" TargetMode="External"/><Relationship Id="rId2" Type="http://schemas.openxmlformats.org/officeDocument/2006/relationships/hyperlink" Target="https://mail.asicsulb.org/corporate/connect/beachfront/events?start=27" TargetMode="External"/><Relationship Id="rId3" Type="http://schemas.openxmlformats.org/officeDocument/2006/relationships/hyperlink" Target="https://www.asirecreation.org/beach-balance/2-uncategorised/710-aquatics-featured-event-group-swim" TargetMode="External"/><Relationship Id="rId4" Type="http://schemas.openxmlformats.org/officeDocument/2006/relationships/hyperlink" Target="https://www.csulb.edu/node/160991" TargetMode="External"/><Relationship Id="rId5" Type="http://schemas.openxmlformats.org/officeDocument/2006/relationships/hyperlink" Target="https://www.csulb.edu/student-affairs/counseling-and-psychological-services/group-counseling-at-caps" TargetMode="External"/><Relationship Id="rId6" Type="http://schemas.openxmlformats.org/officeDocument/2006/relationships/hyperlink" Target="https://www.csulb.edu/student-affairs/counseling-and-psychological-services" TargetMode="External"/><Relationship Id="rId7" Type="http://schemas.openxmlformats.org/officeDocument/2006/relationships/hyperlink" Target="https://www.csulb.edu/student-affairs/beach-wellness/student-wellness-resources-0" TargetMode="External"/><Relationship Id="rId8" Type="http://schemas.openxmlformats.org/officeDocument/2006/relationships/hyperlink" Target="https://www.csulb.edu/student-affairs/student-life-development/student-organizations" TargetMode="External"/><Relationship Id="rId9" Type="http://schemas.openxmlformats.org/officeDocument/2006/relationships/hyperlink" Target="https://asicsulb.org/corporate/connect/beachfront/announcements/363-welcome-to-the-new-improved-beachsync" TargetMode="External"/><Relationship Id="rId10" Type="http://schemas.openxmlformats.org/officeDocument/2006/relationships/hyperlink" Target="https://asicsulb.org/corporate/enjoy/beach-pride-center" TargetMode="External"/><Relationship Id="rId11" Type="http://schemas.openxmlformats.org/officeDocument/2006/relationships/hyperlink" Target="https://asirecreation.org/rock-outdoor" TargetMode="External"/><Relationship Id="rId12" Type="http://schemas.openxmlformats.org/officeDocument/2006/relationships/hyperlink" Target="https://www.asicsulb.org/corporate/discover/srwc" TargetMode="External"/><Relationship Id="rId13" Type="http://schemas.openxmlformats.org/officeDocument/2006/relationships/hyperlink" Target="https://www.asicsulb.org/finals" TargetMode="External"/><Relationship Id="rId14" Type="http://schemas.openxmlformats.org/officeDocument/2006/relationships/hyperlink" Target="https://www.csulb.edu/node/515706" TargetMode="External"/><Relationship Id="rId15" Type="http://schemas.openxmlformats.org/officeDocument/2006/relationships/hyperlink" Target="https://www.csulb.edu/article/things-to-try-before-graduating" TargetMode="External"/><Relationship Id="rId16" Type="http://schemas.openxmlformats.org/officeDocument/2006/relationships/hyperlink" Target="https://www.csulb.edu/news/article/eight-free-or-low-cost-things-to-do-at-csulb-during-the-summer" TargetMode="External"/><Relationship Id="rId17" Type="http://schemas.openxmlformats.org/officeDocument/2006/relationships/hyperlink" Target="https://csulb.edu/jgarde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26"/>
    <col collapsed="false" customWidth="true" hidden="false" outlineLevel="0" max="4" min="4" style="0" width="10"/>
    <col collapsed="false" customWidth="true" hidden="false" outlineLevel="0" max="5" min="5" style="0" width="34"/>
    <col collapsed="false" customWidth="true" hidden="false" outlineLevel="0" max="6" min="6" style="0" width="14"/>
    <col collapsed="false" customWidth="true" hidden="false" outlineLevel="0" max="8" min="7" style="0" width="9"/>
    <col collapsed="false" customWidth="true" hidden="false" outlineLevel="0" max="9" min="9" style="0" width="16"/>
    <col collapsed="false" customWidth="true" hidden="false" outlineLevel="0" max="10" min="10" style="0" width="40"/>
    <col collapsed="false" customWidth="true" hidden="false" outlineLevel="0" max="11" min="11" style="0" width="14"/>
    <col collapsed="false" customWidth="true" hidden="false" outlineLevel="0" max="13" min="12" style="0" width="9"/>
    <col collapsed="false" customWidth="true" hidden="false" outlineLevel="0" max="14" min="14" style="0" width="16"/>
    <col collapsed="false" customWidth="true" hidden="false" outlineLevel="0" max="15" min="15" style="0" width="24"/>
    <col collapsed="false" customWidth="true" hidden="false" outlineLevel="0" max="16" min="16" style="0" width="36"/>
    <col collapsed="false" customWidth="true" hidden="false" outlineLevel="0" max="17" min="17" style="0" width="14"/>
    <col collapsed="false" customWidth="true" hidden="false" outlineLevel="0" max="19" min="18" style="0" width="12"/>
    <col collapsed="false" customWidth="true" hidden="false" outlineLevel="0" max="20" min="20" style="0" width="36"/>
  </cols>
  <sheetData>
    <row r="1" customFormat="false" ht="17.35" hidden="false" customHeight="false" outlineLevel="0" collapsed="false">
      <c r="A1" s="1" t="s">
        <v>0</v>
      </c>
    </row>
    <row r="2" customFormat="false" ht="30" hidden="false" customHeight="true" outlineLevel="0" collapsed="false">
      <c r="A2" s="2" t="s">
        <v>1</v>
      </c>
      <c r="B2" s="2"/>
      <c r="C2" s="2"/>
      <c r="D2" s="2"/>
      <c r="E2" s="2"/>
      <c r="F2" s="2"/>
      <c r="G2" s="2"/>
      <c r="H2" s="2"/>
      <c r="I2" s="2"/>
      <c r="J2" s="2"/>
      <c r="K2" s="2"/>
      <c r="L2" s="2"/>
      <c r="M2" s="2"/>
      <c r="N2" s="2"/>
      <c r="O2" s="2"/>
      <c r="P2" s="2"/>
      <c r="Q2" s="2"/>
      <c r="R2" s="2"/>
      <c r="S2" s="2"/>
      <c r="T2" s="2"/>
    </row>
    <row r="3" customFormat="false" ht="15" hidden="false" customHeight="false" outlineLevel="0" collapsed="false">
      <c r="A3" s="3" t="s">
        <v>2</v>
      </c>
      <c r="C3" s="4" t="s">
        <v>3</v>
      </c>
      <c r="D3" s="3" t="n">
        <f aca="false">COUNTIF($Q$6:$Q$25,"To do")</f>
        <v>20</v>
      </c>
      <c r="E3" s="4" t="s">
        <v>4</v>
      </c>
      <c r="F3" s="3" t="n">
        <f aca="false">COUNTIF($Q$6:$Q$25,"Updated")</f>
        <v>0</v>
      </c>
      <c r="G3" s="4" t="s">
        <v>5</v>
      </c>
      <c r="H3" s="3" t="n">
        <f aca="false">COUNTIF($Q$6:$Q$25,"Removed")</f>
        <v>0</v>
      </c>
      <c r="I3" s="4" t="s">
        <v>6</v>
      </c>
      <c r="J3" s="3" t="n">
        <f aca="false">COUNTIF($Q$6:$Q$25,"Keep as sample")</f>
        <v>0</v>
      </c>
      <c r="K3" s="4" t="s">
        <v>7</v>
      </c>
      <c r="L3" s="5" t="n">
        <f aca="false">IFERROR((COUNTA($Q$6:$Q$25)-COUNTIF($Q$6:$Q$25,"To do"))/COUNTA($Q$6:$Q$25),0)</f>
        <v>0</v>
      </c>
    </row>
    <row r="5" customFormat="false" ht="30" hidden="false" customHeight="true" outlineLevel="0" collapsed="false">
      <c r="A5" s="6" t="s">
        <v>8</v>
      </c>
      <c r="B5" s="6" t="s">
        <v>9</v>
      </c>
      <c r="C5" s="6" t="s">
        <v>10</v>
      </c>
      <c r="D5" s="6" t="s">
        <v>11</v>
      </c>
      <c r="E5" s="6" t="s">
        <v>12</v>
      </c>
      <c r="F5" s="6" t="s">
        <v>13</v>
      </c>
      <c r="G5" s="6" t="s">
        <v>14</v>
      </c>
      <c r="H5" s="6" t="s">
        <v>15</v>
      </c>
      <c r="I5" s="6" t="s">
        <v>16</v>
      </c>
      <c r="J5" s="6" t="s">
        <v>17</v>
      </c>
      <c r="K5" s="6" t="s">
        <v>18</v>
      </c>
      <c r="L5" s="6" t="s">
        <v>19</v>
      </c>
      <c r="M5" s="6" t="s">
        <v>20</v>
      </c>
      <c r="N5" s="6" t="s">
        <v>21</v>
      </c>
      <c r="O5" s="6" t="s">
        <v>22</v>
      </c>
      <c r="P5" s="6" t="s">
        <v>23</v>
      </c>
      <c r="Q5" s="6" t="s">
        <v>24</v>
      </c>
      <c r="R5" s="6" t="s">
        <v>25</v>
      </c>
      <c r="S5" s="6" t="s">
        <v>26</v>
      </c>
      <c r="T5" s="6" t="s">
        <v>27</v>
      </c>
    </row>
    <row r="6" customFormat="false" ht="23.85" hidden="false" customHeight="false" outlineLevel="0" collapsed="false">
      <c r="A6" s="7" t="s">
        <v>28</v>
      </c>
      <c r="B6" s="7" t="s">
        <v>29</v>
      </c>
      <c r="C6" s="7" t="s">
        <v>30</v>
      </c>
      <c r="D6" s="7" t="s">
        <v>31</v>
      </c>
      <c r="E6" s="7" t="s">
        <v>32</v>
      </c>
      <c r="F6" s="8" t="s">
        <v>33</v>
      </c>
      <c r="G6" s="8" t="s">
        <v>34</v>
      </c>
      <c r="H6" s="8" t="s">
        <v>35</v>
      </c>
      <c r="I6" s="8" t="s">
        <v>36</v>
      </c>
      <c r="J6" s="9" t="s">
        <v>37</v>
      </c>
      <c r="K6" s="10"/>
      <c r="L6" s="10"/>
      <c r="M6" s="10"/>
      <c r="N6" s="10"/>
      <c r="O6" s="10"/>
      <c r="P6" s="10"/>
      <c r="Q6" s="10" t="s">
        <v>3</v>
      </c>
      <c r="R6" s="10"/>
      <c r="S6" s="11"/>
      <c r="T6" s="10"/>
    </row>
    <row r="7" customFormat="false" ht="23.85" hidden="false" customHeight="false" outlineLevel="0" collapsed="false">
      <c r="A7" s="7" t="s">
        <v>38</v>
      </c>
      <c r="B7" s="7" t="s">
        <v>39</v>
      </c>
      <c r="C7" s="7" t="s">
        <v>30</v>
      </c>
      <c r="D7" s="7" t="s">
        <v>31</v>
      </c>
      <c r="E7" s="7" t="s">
        <v>32</v>
      </c>
      <c r="F7" s="8" t="s">
        <v>40</v>
      </c>
      <c r="G7" s="8" t="s">
        <v>41</v>
      </c>
      <c r="H7" s="8" t="s">
        <v>42</v>
      </c>
      <c r="I7" s="8" t="s">
        <v>36</v>
      </c>
      <c r="J7" s="9" t="s">
        <v>37</v>
      </c>
      <c r="K7" s="10"/>
      <c r="L7" s="10"/>
      <c r="M7" s="10"/>
      <c r="N7" s="10"/>
      <c r="O7" s="10"/>
      <c r="P7" s="10"/>
      <c r="Q7" s="10" t="s">
        <v>3</v>
      </c>
      <c r="R7" s="10"/>
      <c r="S7" s="11"/>
      <c r="T7" s="10"/>
    </row>
    <row r="8" customFormat="false" ht="23.85" hidden="false" customHeight="false" outlineLevel="0" collapsed="false">
      <c r="A8" s="7" t="s">
        <v>43</v>
      </c>
      <c r="B8" s="7" t="s">
        <v>44</v>
      </c>
      <c r="C8" s="7" t="s">
        <v>30</v>
      </c>
      <c r="D8" s="7" t="s">
        <v>31</v>
      </c>
      <c r="E8" s="7" t="s">
        <v>32</v>
      </c>
      <c r="F8" s="8" t="s">
        <v>45</v>
      </c>
      <c r="G8" s="8" t="s">
        <v>34</v>
      </c>
      <c r="H8" s="8" t="s">
        <v>46</v>
      </c>
      <c r="I8" s="8" t="s">
        <v>36</v>
      </c>
      <c r="J8" s="9" t="s">
        <v>37</v>
      </c>
      <c r="K8" s="10"/>
      <c r="L8" s="10"/>
      <c r="M8" s="10"/>
      <c r="N8" s="10"/>
      <c r="O8" s="10"/>
      <c r="P8" s="10"/>
      <c r="Q8" s="10" t="s">
        <v>3</v>
      </c>
      <c r="R8" s="10"/>
      <c r="S8" s="11"/>
      <c r="T8" s="10"/>
    </row>
    <row r="9" customFormat="false" ht="23.85" hidden="false" customHeight="false" outlineLevel="0" collapsed="false">
      <c r="A9" s="7" t="s">
        <v>47</v>
      </c>
      <c r="B9" s="7" t="s">
        <v>48</v>
      </c>
      <c r="C9" s="7" t="s">
        <v>49</v>
      </c>
      <c r="D9" s="7" t="s">
        <v>31</v>
      </c>
      <c r="E9" s="7" t="s">
        <v>32</v>
      </c>
      <c r="F9" s="8" t="s">
        <v>50</v>
      </c>
      <c r="G9" s="8" t="s">
        <v>51</v>
      </c>
      <c r="H9" s="8" t="s">
        <v>52</v>
      </c>
      <c r="I9" s="8" t="s">
        <v>53</v>
      </c>
      <c r="J9" s="9" t="s">
        <v>54</v>
      </c>
      <c r="K9" s="10"/>
      <c r="L9" s="10"/>
      <c r="M9" s="10"/>
      <c r="N9" s="10"/>
      <c r="O9" s="10"/>
      <c r="P9" s="10"/>
      <c r="Q9" s="10" t="s">
        <v>3</v>
      </c>
      <c r="R9" s="10"/>
      <c r="S9" s="11"/>
      <c r="T9" s="10"/>
    </row>
    <row r="10" customFormat="false" ht="23.85" hidden="false" customHeight="false" outlineLevel="0" collapsed="false">
      <c r="A10" s="7" t="s">
        <v>55</v>
      </c>
      <c r="B10" s="7" t="s">
        <v>56</v>
      </c>
      <c r="C10" s="7" t="s">
        <v>49</v>
      </c>
      <c r="D10" s="7" t="s">
        <v>31</v>
      </c>
      <c r="E10" s="7" t="s">
        <v>32</v>
      </c>
      <c r="F10" s="8" t="s">
        <v>57</v>
      </c>
      <c r="G10" s="8" t="s">
        <v>34</v>
      </c>
      <c r="H10" s="8" t="s">
        <v>58</v>
      </c>
      <c r="I10" s="8" t="s">
        <v>36</v>
      </c>
      <c r="J10" s="9" t="s">
        <v>54</v>
      </c>
      <c r="K10" s="10"/>
      <c r="L10" s="10"/>
      <c r="M10" s="10"/>
      <c r="N10" s="10"/>
      <c r="O10" s="10"/>
      <c r="P10" s="10"/>
      <c r="Q10" s="10" t="s">
        <v>3</v>
      </c>
      <c r="R10" s="10"/>
      <c r="S10" s="11"/>
      <c r="T10" s="10"/>
    </row>
    <row r="11" customFormat="false" ht="23.85" hidden="false" customHeight="false" outlineLevel="0" collapsed="false">
      <c r="A11" s="7" t="s">
        <v>59</v>
      </c>
      <c r="B11" s="7" t="s">
        <v>60</v>
      </c>
      <c r="C11" s="7" t="s">
        <v>61</v>
      </c>
      <c r="D11" s="7" t="s">
        <v>31</v>
      </c>
      <c r="E11" s="7" t="s">
        <v>32</v>
      </c>
      <c r="F11" s="8" t="s">
        <v>62</v>
      </c>
      <c r="G11" s="8" t="s">
        <v>52</v>
      </c>
      <c r="H11" s="8" t="s">
        <v>63</v>
      </c>
      <c r="I11" s="8" t="s">
        <v>64</v>
      </c>
      <c r="J11" s="9" t="s">
        <v>65</v>
      </c>
      <c r="K11" s="10"/>
      <c r="L11" s="10"/>
      <c r="M11" s="10"/>
      <c r="N11" s="10"/>
      <c r="O11" s="10"/>
      <c r="P11" s="10"/>
      <c r="Q11" s="10" t="s">
        <v>3</v>
      </c>
      <c r="R11" s="10"/>
      <c r="S11" s="11"/>
      <c r="T11" s="10"/>
    </row>
    <row r="12" customFormat="false" ht="23.85" hidden="false" customHeight="false" outlineLevel="0" collapsed="false">
      <c r="A12" s="7" t="s">
        <v>66</v>
      </c>
      <c r="B12" s="7" t="s">
        <v>67</v>
      </c>
      <c r="C12" s="7" t="s">
        <v>68</v>
      </c>
      <c r="D12" s="7" t="s">
        <v>31</v>
      </c>
      <c r="E12" s="7" t="s">
        <v>32</v>
      </c>
      <c r="F12" s="8" t="s">
        <v>62</v>
      </c>
      <c r="G12" s="8" t="s">
        <v>69</v>
      </c>
      <c r="H12" s="8" t="s">
        <v>70</v>
      </c>
      <c r="I12" s="8" t="s">
        <v>71</v>
      </c>
      <c r="J12" s="9" t="s">
        <v>72</v>
      </c>
      <c r="K12" s="10"/>
      <c r="L12" s="10"/>
      <c r="M12" s="10"/>
      <c r="N12" s="10"/>
      <c r="O12" s="10"/>
      <c r="P12" s="10"/>
      <c r="Q12" s="10" t="s">
        <v>3</v>
      </c>
      <c r="R12" s="10"/>
      <c r="S12" s="11"/>
      <c r="T12" s="10"/>
    </row>
    <row r="13" customFormat="false" ht="23.85" hidden="false" customHeight="false" outlineLevel="0" collapsed="false">
      <c r="A13" s="7" t="s">
        <v>73</v>
      </c>
      <c r="B13" s="7" t="s">
        <v>74</v>
      </c>
      <c r="C13" s="7" t="s">
        <v>68</v>
      </c>
      <c r="D13" s="7" t="s">
        <v>31</v>
      </c>
      <c r="E13" s="7" t="s">
        <v>32</v>
      </c>
      <c r="F13" s="8" t="s">
        <v>50</v>
      </c>
      <c r="G13" s="8" t="s">
        <v>69</v>
      </c>
      <c r="H13" s="8" t="s">
        <v>70</v>
      </c>
      <c r="I13" s="8" t="s">
        <v>75</v>
      </c>
      <c r="J13" s="9" t="s">
        <v>72</v>
      </c>
      <c r="K13" s="10"/>
      <c r="L13" s="10"/>
      <c r="M13" s="10"/>
      <c r="N13" s="10"/>
      <c r="O13" s="10"/>
      <c r="P13" s="10"/>
      <c r="Q13" s="10" t="s">
        <v>3</v>
      </c>
      <c r="R13" s="10"/>
      <c r="S13" s="11"/>
      <c r="T13" s="10"/>
    </row>
    <row r="14" customFormat="false" ht="23.85" hidden="false" customHeight="false" outlineLevel="0" collapsed="false">
      <c r="A14" s="7" t="s">
        <v>76</v>
      </c>
      <c r="B14" s="7" t="s">
        <v>77</v>
      </c>
      <c r="C14" s="7" t="s">
        <v>68</v>
      </c>
      <c r="D14" s="7" t="s">
        <v>31</v>
      </c>
      <c r="E14" s="7" t="s">
        <v>32</v>
      </c>
      <c r="F14" s="8" t="s">
        <v>78</v>
      </c>
      <c r="G14" s="8" t="s">
        <v>79</v>
      </c>
      <c r="H14" s="8" t="s">
        <v>63</v>
      </c>
      <c r="I14" s="8" t="s">
        <v>80</v>
      </c>
      <c r="J14" s="9" t="s">
        <v>81</v>
      </c>
      <c r="K14" s="10"/>
      <c r="L14" s="10"/>
      <c r="M14" s="10"/>
      <c r="N14" s="10"/>
      <c r="O14" s="10"/>
      <c r="P14" s="10"/>
      <c r="Q14" s="10" t="s">
        <v>3</v>
      </c>
      <c r="R14" s="10"/>
      <c r="S14" s="11"/>
      <c r="T14" s="10"/>
    </row>
    <row r="15" customFormat="false" ht="23.85" hidden="false" customHeight="false" outlineLevel="0" collapsed="false">
      <c r="A15" s="7" t="s">
        <v>82</v>
      </c>
      <c r="B15" s="7" t="s">
        <v>83</v>
      </c>
      <c r="C15" s="7" t="s">
        <v>84</v>
      </c>
      <c r="D15" s="7" t="s">
        <v>31</v>
      </c>
      <c r="E15" s="7" t="s">
        <v>32</v>
      </c>
      <c r="F15" s="8" t="s">
        <v>45</v>
      </c>
      <c r="G15" s="8" t="s">
        <v>79</v>
      </c>
      <c r="H15" s="8" t="s">
        <v>85</v>
      </c>
      <c r="I15" s="8" t="s">
        <v>36</v>
      </c>
      <c r="J15" s="9" t="s">
        <v>86</v>
      </c>
      <c r="K15" s="10"/>
      <c r="L15" s="10"/>
      <c r="M15" s="10"/>
      <c r="N15" s="10"/>
      <c r="O15" s="10"/>
      <c r="P15" s="10"/>
      <c r="Q15" s="10" t="s">
        <v>3</v>
      </c>
      <c r="R15" s="10"/>
      <c r="S15" s="11"/>
      <c r="T15" s="10"/>
    </row>
    <row r="16" customFormat="false" ht="35.05" hidden="false" customHeight="false" outlineLevel="0" collapsed="false">
      <c r="A16" s="7" t="s">
        <v>87</v>
      </c>
      <c r="B16" s="7" t="s">
        <v>88</v>
      </c>
      <c r="C16" s="7" t="s">
        <v>89</v>
      </c>
      <c r="D16" s="7" t="s">
        <v>90</v>
      </c>
      <c r="E16" s="7" t="s">
        <v>91</v>
      </c>
      <c r="F16" s="8" t="s">
        <v>57</v>
      </c>
      <c r="G16" s="8" t="s">
        <v>92</v>
      </c>
      <c r="H16" s="8" t="s">
        <v>93</v>
      </c>
      <c r="I16" s="8" t="s">
        <v>36</v>
      </c>
      <c r="J16" s="9" t="s">
        <v>94</v>
      </c>
      <c r="K16" s="10"/>
      <c r="L16" s="10"/>
      <c r="M16" s="10"/>
      <c r="N16" s="10"/>
      <c r="O16" s="10"/>
      <c r="P16" s="10"/>
      <c r="Q16" s="10" t="s">
        <v>3</v>
      </c>
      <c r="R16" s="10"/>
      <c r="S16" s="11"/>
      <c r="T16" s="10"/>
    </row>
    <row r="17" customFormat="false" ht="35.05" hidden="false" customHeight="false" outlineLevel="0" collapsed="false">
      <c r="A17" s="7" t="s">
        <v>95</v>
      </c>
      <c r="B17" s="7" t="s">
        <v>96</v>
      </c>
      <c r="C17" s="7" t="s">
        <v>97</v>
      </c>
      <c r="D17" s="7" t="s">
        <v>90</v>
      </c>
      <c r="E17" s="7" t="s">
        <v>91</v>
      </c>
      <c r="F17" s="8" t="s">
        <v>98</v>
      </c>
      <c r="G17" s="8" t="s">
        <v>99</v>
      </c>
      <c r="H17" s="8" t="s">
        <v>79</v>
      </c>
      <c r="I17" s="8" t="s">
        <v>36</v>
      </c>
      <c r="J17" s="9" t="s">
        <v>94</v>
      </c>
      <c r="K17" s="10"/>
      <c r="L17" s="10"/>
      <c r="M17" s="10"/>
      <c r="N17" s="10"/>
      <c r="O17" s="10"/>
      <c r="P17" s="10"/>
      <c r="Q17" s="10" t="s">
        <v>3</v>
      </c>
      <c r="R17" s="10"/>
      <c r="S17" s="11"/>
      <c r="T17" s="10"/>
    </row>
    <row r="18" customFormat="false" ht="35.05" hidden="false" customHeight="false" outlineLevel="0" collapsed="false">
      <c r="A18" s="7" t="s">
        <v>100</v>
      </c>
      <c r="B18" s="7" t="s">
        <v>101</v>
      </c>
      <c r="C18" s="7" t="s">
        <v>102</v>
      </c>
      <c r="D18" s="7" t="s">
        <v>90</v>
      </c>
      <c r="E18" s="7" t="s">
        <v>91</v>
      </c>
      <c r="F18" s="8" t="s">
        <v>62</v>
      </c>
      <c r="G18" s="8" t="s">
        <v>103</v>
      </c>
      <c r="H18" s="8" t="s">
        <v>104</v>
      </c>
      <c r="I18" s="8" t="s">
        <v>36</v>
      </c>
      <c r="J18" s="9" t="s">
        <v>94</v>
      </c>
      <c r="K18" s="10"/>
      <c r="L18" s="10"/>
      <c r="M18" s="10"/>
      <c r="N18" s="10"/>
      <c r="O18" s="10"/>
      <c r="P18" s="10"/>
      <c r="Q18" s="10" t="s">
        <v>3</v>
      </c>
      <c r="R18" s="10"/>
      <c r="S18" s="11"/>
      <c r="T18" s="10"/>
    </row>
    <row r="19" customFormat="false" ht="23.85" hidden="false" customHeight="false" outlineLevel="0" collapsed="false">
      <c r="A19" s="7" t="s">
        <v>105</v>
      </c>
      <c r="B19" s="7" t="s">
        <v>106</v>
      </c>
      <c r="C19" s="7" t="s">
        <v>107</v>
      </c>
      <c r="D19" s="7" t="s">
        <v>31</v>
      </c>
      <c r="E19" s="7" t="s">
        <v>32</v>
      </c>
      <c r="F19" s="8" t="s">
        <v>50</v>
      </c>
      <c r="G19" s="8" t="s">
        <v>46</v>
      </c>
      <c r="H19" s="8" t="s">
        <v>70</v>
      </c>
      <c r="I19" s="8" t="s">
        <v>36</v>
      </c>
      <c r="J19" s="9" t="s">
        <v>72</v>
      </c>
      <c r="K19" s="10"/>
      <c r="L19" s="10"/>
      <c r="M19" s="10"/>
      <c r="N19" s="10"/>
      <c r="O19" s="10"/>
      <c r="P19" s="10"/>
      <c r="Q19" s="10" t="s">
        <v>3</v>
      </c>
      <c r="R19" s="10"/>
      <c r="S19" s="11"/>
      <c r="T19" s="10"/>
    </row>
    <row r="20" customFormat="false" ht="35.05" hidden="false" customHeight="false" outlineLevel="0" collapsed="false">
      <c r="A20" s="7" t="s">
        <v>108</v>
      </c>
      <c r="B20" s="7" t="s">
        <v>109</v>
      </c>
      <c r="C20" s="7" t="s">
        <v>110</v>
      </c>
      <c r="D20" s="7" t="s">
        <v>90</v>
      </c>
      <c r="E20" s="7" t="s">
        <v>91</v>
      </c>
      <c r="F20" s="8" t="s">
        <v>57</v>
      </c>
      <c r="G20" s="8" t="s">
        <v>34</v>
      </c>
      <c r="H20" s="8" t="s">
        <v>46</v>
      </c>
      <c r="I20" s="8" t="s">
        <v>36</v>
      </c>
      <c r="J20" s="9" t="s">
        <v>111</v>
      </c>
      <c r="K20" s="10"/>
      <c r="L20" s="10"/>
      <c r="M20" s="10"/>
      <c r="N20" s="10"/>
      <c r="O20" s="10"/>
      <c r="P20" s="10"/>
      <c r="Q20" s="10" t="s">
        <v>3</v>
      </c>
      <c r="R20" s="10"/>
      <c r="S20" s="11"/>
      <c r="T20" s="10"/>
    </row>
    <row r="21" customFormat="false" ht="23.85" hidden="false" customHeight="false" outlineLevel="0" collapsed="false">
      <c r="A21" s="7" t="s">
        <v>112</v>
      </c>
      <c r="B21" s="7" t="s">
        <v>113</v>
      </c>
      <c r="C21" s="7" t="s">
        <v>114</v>
      </c>
      <c r="D21" s="7" t="s">
        <v>31</v>
      </c>
      <c r="E21" s="7" t="s">
        <v>32</v>
      </c>
      <c r="F21" s="8" t="s">
        <v>115</v>
      </c>
      <c r="G21" s="8" t="s">
        <v>46</v>
      </c>
      <c r="H21" s="8" t="s">
        <v>52</v>
      </c>
      <c r="I21" s="8" t="s">
        <v>116</v>
      </c>
      <c r="J21" s="9" t="s">
        <v>117</v>
      </c>
      <c r="K21" s="10"/>
      <c r="L21" s="10"/>
      <c r="M21" s="10"/>
      <c r="N21" s="10"/>
      <c r="O21" s="10"/>
      <c r="P21" s="10"/>
      <c r="Q21" s="10" t="s">
        <v>3</v>
      </c>
      <c r="R21" s="10"/>
      <c r="S21" s="11"/>
      <c r="T21" s="10"/>
    </row>
    <row r="22" customFormat="false" ht="23.85" hidden="false" customHeight="false" outlineLevel="0" collapsed="false">
      <c r="A22" s="7" t="s">
        <v>118</v>
      </c>
      <c r="B22" s="7" t="s">
        <v>119</v>
      </c>
      <c r="C22" s="7" t="s">
        <v>68</v>
      </c>
      <c r="D22" s="7" t="s">
        <v>31</v>
      </c>
      <c r="E22" s="7" t="s">
        <v>32</v>
      </c>
      <c r="F22" s="8" t="s">
        <v>45</v>
      </c>
      <c r="G22" s="8" t="s">
        <v>69</v>
      </c>
      <c r="H22" s="8" t="s">
        <v>46</v>
      </c>
      <c r="I22" s="8" t="s">
        <v>80</v>
      </c>
      <c r="J22" s="9" t="s">
        <v>72</v>
      </c>
      <c r="K22" s="10"/>
      <c r="L22" s="10"/>
      <c r="M22" s="10"/>
      <c r="N22" s="10"/>
      <c r="O22" s="10"/>
      <c r="P22" s="10"/>
      <c r="Q22" s="10" t="s">
        <v>3</v>
      </c>
      <c r="R22" s="10"/>
      <c r="S22" s="11"/>
      <c r="T22" s="10"/>
    </row>
    <row r="23" customFormat="false" ht="35.05" hidden="false" customHeight="false" outlineLevel="0" collapsed="false">
      <c r="A23" s="7" t="s">
        <v>120</v>
      </c>
      <c r="B23" s="7" t="s">
        <v>121</v>
      </c>
      <c r="C23" s="7" t="s">
        <v>122</v>
      </c>
      <c r="D23" s="7" t="s">
        <v>90</v>
      </c>
      <c r="E23" s="7" t="s">
        <v>91</v>
      </c>
      <c r="F23" s="8" t="s">
        <v>123</v>
      </c>
      <c r="G23" s="8" t="s">
        <v>70</v>
      </c>
      <c r="H23" s="8" t="s">
        <v>63</v>
      </c>
      <c r="I23" s="8" t="s">
        <v>116</v>
      </c>
      <c r="J23" s="9" t="s">
        <v>86</v>
      </c>
      <c r="K23" s="10"/>
      <c r="L23" s="10"/>
      <c r="M23" s="10"/>
      <c r="N23" s="10"/>
      <c r="O23" s="10"/>
      <c r="P23" s="10"/>
      <c r="Q23" s="10" t="s">
        <v>3</v>
      </c>
      <c r="R23" s="10"/>
      <c r="S23" s="11"/>
      <c r="T23" s="10"/>
    </row>
    <row r="24" customFormat="false" ht="23.85" hidden="false" customHeight="false" outlineLevel="0" collapsed="false">
      <c r="A24" s="7" t="s">
        <v>124</v>
      </c>
      <c r="B24" s="7" t="s">
        <v>125</v>
      </c>
      <c r="C24" s="7" t="s">
        <v>126</v>
      </c>
      <c r="D24" s="7" t="s">
        <v>31</v>
      </c>
      <c r="E24" s="7" t="s">
        <v>32</v>
      </c>
      <c r="F24" s="8" t="s">
        <v>40</v>
      </c>
      <c r="G24" s="8" t="s">
        <v>69</v>
      </c>
      <c r="H24" s="8" t="s">
        <v>51</v>
      </c>
      <c r="I24" s="8" t="s">
        <v>36</v>
      </c>
      <c r="J24" s="9" t="s">
        <v>86</v>
      </c>
      <c r="K24" s="10"/>
      <c r="L24" s="10"/>
      <c r="M24" s="10"/>
      <c r="N24" s="10"/>
      <c r="O24" s="10"/>
      <c r="P24" s="10"/>
      <c r="Q24" s="10" t="s">
        <v>3</v>
      </c>
      <c r="R24" s="10"/>
      <c r="S24" s="11"/>
      <c r="T24" s="10"/>
    </row>
    <row r="25" customFormat="false" ht="35.05" hidden="false" customHeight="false" outlineLevel="0" collapsed="false">
      <c r="A25" s="7" t="s">
        <v>127</v>
      </c>
      <c r="B25" s="7" t="s">
        <v>128</v>
      </c>
      <c r="C25" s="7" t="s">
        <v>122</v>
      </c>
      <c r="D25" s="7" t="s">
        <v>90</v>
      </c>
      <c r="E25" s="7" t="s">
        <v>91</v>
      </c>
      <c r="F25" s="8" t="s">
        <v>62</v>
      </c>
      <c r="G25" s="8" t="s">
        <v>51</v>
      </c>
      <c r="H25" s="8" t="s">
        <v>129</v>
      </c>
      <c r="I25" s="8" t="s">
        <v>116</v>
      </c>
      <c r="J25" s="9" t="s">
        <v>86</v>
      </c>
      <c r="K25" s="10"/>
      <c r="L25" s="10"/>
      <c r="M25" s="10"/>
      <c r="N25" s="10"/>
      <c r="O25" s="10"/>
      <c r="P25" s="10"/>
      <c r="Q25" s="10" t="s">
        <v>3</v>
      </c>
      <c r="R25" s="10"/>
      <c r="S25" s="11"/>
      <c r="T25" s="10"/>
    </row>
  </sheetData>
  <autoFilter ref="A5:T25"/>
  <mergeCells count="1">
    <mergeCell ref="A2:T2"/>
  </mergeCells>
  <conditionalFormatting sqref="Q6:Q25">
    <cfRule type="expression" priority="2" aboveAverage="0" equalAverage="0" bottom="0" percent="0" rank="0" text="" dxfId="6">
      <formula>$Q6="Updated"</formula>
    </cfRule>
  </conditionalFormatting>
  <dataValidations count="1">
    <dataValidation allowBlank="false" error="Choose To do, Updated, Removed or Keep as sample." errorStyle="stop" operator="between" showDropDown="false" showErrorMessage="false" showInputMessage="false" sqref="Q6:Q25" type="list">
      <formula1>"To do,Updated,Removed,Keep as sample"</formula1>
      <formula2>0</formula2>
    </dataValidation>
  </dataValidations>
  <hyperlinks>
    <hyperlink ref="J6" r:id="rId1" display="CSULB Group Fitness: https://www.csulb.edu/node/160991"/>
    <hyperlink ref="J7" r:id="rId2" display="CSULB Group Fitness: https://www.csulb.edu/node/160991"/>
    <hyperlink ref="J8" r:id="rId3" display="CSULB Group Fitness: https://www.csulb.edu/node/160991"/>
    <hyperlink ref="J9" r:id="rId4" display="Group Counseling at CAPS: https://www.csulb.edu/student-affairs/counseling-and-psychological-services/group-counseling-at-caps"/>
    <hyperlink ref="J10" r:id="rId5" display="Group Counseling at CAPS: https://www.csulb.edu/student-affairs/counseling-and-psychological-services/group-counseling-at-caps"/>
    <hyperlink ref="J11" r:id="rId6" display="Counseling and Psychological Services: https://www.csulb.edu/student-affairs/counseling-and-psychological-services"/>
    <hyperlink ref="J12" r:id="rId7" display="ASI event calendar: https://asicsulb.org/corporate/enjoy/event-calendar/11854"/>
    <hyperlink ref="J13" r:id="rId8" display="ASI event calendar: https://asicsulb.org/corporate/enjoy/event-calendar/11854"/>
    <hyperlink ref="J14" r:id="rId9" display="ASI Beachfront event list: https://mail.asicsulb.org/corporate/connect/beachfront/events?start=27"/>
    <hyperlink ref="J15" r:id="rId10" display="Beach Wellness: Student Wellness Resources: https://www.csulb.edu/student-affairs/beach-wellness/student-wellness-resources-0"/>
    <hyperlink ref="J16" r:id="rId11" display="BeachSync (ASI announcement): https://asicsulb.org/corporate/connect/beachfront/announcements/363-welcome-to-the-new-improved-beachsync"/>
    <hyperlink ref="J17" r:id="rId12" display="BeachSync (ASI announcement): https://asicsulb.org/corporate/connect/beachfront/announcements/363-welcome-to-the-new-improved-beachsync"/>
    <hyperlink ref="J18" r:id="rId13" display="BeachSync (ASI announcement): https://asicsulb.org/corporate/connect/beachfront/announcements/363-welcome-to-the-new-improved-beachsync"/>
    <hyperlink ref="J19" r:id="rId14" display="ASI event calendar: https://asicsulb.org/corporate/enjoy/event-calendar/11854"/>
    <hyperlink ref="J20" r:id="rId15" display="Student Organizations: https://www.csulb.edu/student-affairs/student-life-development/student-organizations"/>
    <hyperlink ref="J21" r:id="rId16" display="ASI Recreation, Beach Balance: https://www.asirecreation.org/beach-balance/2-uncategorised/710-aquatics-featured-event-group-swim"/>
    <hyperlink ref="J22" r:id="rId17" display="ASI event calendar: https://asicsulb.org/corporate/enjoy/event-calendar/11854"/>
    <hyperlink ref="J23" r:id="rId18" display="Beach Wellness: Student Wellness Resources: https://www.csulb.edu/student-affairs/beach-wellness/student-wellness-resources-0"/>
    <hyperlink ref="J24" r:id="rId19" display="Beach Wellness: Student Wellness Resources: https://www.csulb.edu/student-affairs/beach-wellness/student-wellness-resources-0"/>
    <hyperlink ref="J25" r:id="rId20" display="Beach Wellness: Student Wellness Resources: https://www.csulb.edu/student-affairs/beach-wellness/student-wellness-resources-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4"/>
    <col collapsed="false" customWidth="true" hidden="false" outlineLevel="0" max="3" min="3" style="0" width="26"/>
    <col collapsed="false" customWidth="true" hidden="false" outlineLevel="0" max="4" min="4" style="0" width="16"/>
    <col collapsed="false" customWidth="true" hidden="false" outlineLevel="0" max="5" min="5" style="0" width="28"/>
    <col collapsed="false" customWidth="true" hidden="false" outlineLevel="0" max="7" min="6" style="0" width="40"/>
    <col collapsed="false" customWidth="true" hidden="false" outlineLevel="0" max="8" min="8" style="0" width="12"/>
    <col collapsed="false" customWidth="true" hidden="false" outlineLevel="0" max="10" min="9" style="0" width="8"/>
    <col collapsed="false" customWidth="true" hidden="false" outlineLevel="0" max="11" min="11" style="0" width="14"/>
    <col collapsed="false" customWidth="true" hidden="false" outlineLevel="0" max="12" min="12" style="0" width="22"/>
    <col collapsed="false" customWidth="true" hidden="false" outlineLevel="0" max="13" min="13" style="0" width="30"/>
    <col collapsed="false" customWidth="true" hidden="false" outlineLevel="0" max="14" min="14" style="0" width="12"/>
    <col collapsed="false" customWidth="true" hidden="false" outlineLevel="0" max="15" min="15" style="0" width="13"/>
    <col collapsed="false" customWidth="true" hidden="false" outlineLevel="0" max="17" min="16" style="0" width="12"/>
    <col collapsed="false" customWidth="true" hidden="false" outlineLevel="0" max="18" min="18" style="0" width="30"/>
  </cols>
  <sheetData>
    <row r="1" customFormat="false" ht="17.35" hidden="false" customHeight="false" outlineLevel="0" collapsed="false">
      <c r="A1" s="1" t="s">
        <v>130</v>
      </c>
    </row>
    <row r="2" customFormat="false" ht="30" hidden="false" customHeight="true" outlineLevel="0" collapsed="false">
      <c r="A2" s="2" t="s">
        <v>131</v>
      </c>
      <c r="B2" s="2"/>
      <c r="C2" s="2"/>
      <c r="D2" s="2"/>
      <c r="E2" s="2"/>
      <c r="F2" s="2"/>
      <c r="G2" s="2"/>
      <c r="H2" s="2"/>
      <c r="I2" s="2"/>
      <c r="J2" s="2"/>
      <c r="K2" s="2"/>
      <c r="L2" s="2"/>
      <c r="M2" s="2"/>
      <c r="N2" s="2"/>
      <c r="O2" s="2"/>
      <c r="P2" s="2"/>
      <c r="Q2" s="2"/>
      <c r="R2" s="2"/>
    </row>
    <row r="3" customFormat="false" ht="15" hidden="false" customHeight="false" outlineLevel="0" collapsed="false">
      <c r="A3" s="3" t="s">
        <v>2</v>
      </c>
      <c r="C3" s="4" t="s">
        <v>3</v>
      </c>
      <c r="D3" s="3" t="n">
        <f aca="false">COUNTIF($O$6:$O$35,"To do")</f>
        <v>30</v>
      </c>
      <c r="E3" s="4" t="s">
        <v>132</v>
      </c>
      <c r="F3" s="3" t="n">
        <f aca="false">COUNTIF($O$6:$O$35,"Added")</f>
        <v>0</v>
      </c>
      <c r="G3" s="4" t="s">
        <v>133</v>
      </c>
      <c r="H3" s="3" t="n">
        <f aca="false">COUNTIF($O$6:$O$35,"Not running")</f>
        <v>0</v>
      </c>
    </row>
    <row r="5" customFormat="false" ht="30" hidden="false" customHeight="true" outlineLevel="0" collapsed="false">
      <c r="A5" s="6" t="s">
        <v>134</v>
      </c>
      <c r="B5" s="6" t="s">
        <v>9</v>
      </c>
      <c r="C5" s="6" t="s">
        <v>10</v>
      </c>
      <c r="D5" s="6" t="s">
        <v>135</v>
      </c>
      <c r="E5" s="6" t="s">
        <v>136</v>
      </c>
      <c r="F5" s="6" t="s">
        <v>137</v>
      </c>
      <c r="G5" s="6" t="s">
        <v>138</v>
      </c>
      <c r="H5" s="6" t="s">
        <v>139</v>
      </c>
      <c r="I5" s="6" t="s">
        <v>140</v>
      </c>
      <c r="J5" s="6" t="s">
        <v>141</v>
      </c>
      <c r="K5" s="6" t="s">
        <v>142</v>
      </c>
      <c r="L5" s="6" t="s">
        <v>143</v>
      </c>
      <c r="M5" s="6" t="s">
        <v>23</v>
      </c>
      <c r="N5" s="6" t="s">
        <v>144</v>
      </c>
      <c r="O5" s="6" t="s">
        <v>24</v>
      </c>
      <c r="P5" s="6" t="s">
        <v>25</v>
      </c>
      <c r="Q5" s="6" t="s">
        <v>26</v>
      </c>
      <c r="R5" s="6" t="s">
        <v>27</v>
      </c>
    </row>
    <row r="6" customFormat="false" ht="23.85" hidden="false" customHeight="false" outlineLevel="0" collapsed="false">
      <c r="A6" s="7" t="s">
        <v>145</v>
      </c>
      <c r="B6" s="7" t="s">
        <v>146</v>
      </c>
      <c r="C6" s="7" t="s">
        <v>147</v>
      </c>
      <c r="D6" s="7" t="s">
        <v>148</v>
      </c>
      <c r="E6" s="7" t="s">
        <v>149</v>
      </c>
      <c r="F6" s="7" t="s">
        <v>150</v>
      </c>
      <c r="G6" s="9" t="s">
        <v>151</v>
      </c>
      <c r="H6" s="10"/>
      <c r="I6" s="10"/>
      <c r="J6" s="10"/>
      <c r="K6" s="10"/>
      <c r="L6" s="10"/>
      <c r="M6" s="10"/>
      <c r="N6" s="10"/>
      <c r="O6" s="10" t="s">
        <v>3</v>
      </c>
      <c r="P6" s="10"/>
      <c r="Q6" s="11"/>
      <c r="R6" s="10"/>
    </row>
    <row r="7" customFormat="false" ht="23.85" hidden="false" customHeight="false" outlineLevel="0" collapsed="false">
      <c r="A7" s="7" t="s">
        <v>152</v>
      </c>
      <c r="B7" s="7" t="s">
        <v>153</v>
      </c>
      <c r="C7" s="7" t="s">
        <v>68</v>
      </c>
      <c r="D7" s="7" t="s">
        <v>154</v>
      </c>
      <c r="E7" s="7" t="s">
        <v>155</v>
      </c>
      <c r="F7" s="7" t="s">
        <v>156</v>
      </c>
      <c r="G7" s="9" t="s">
        <v>151</v>
      </c>
      <c r="H7" s="10"/>
      <c r="I7" s="10"/>
      <c r="J7" s="10"/>
      <c r="K7" s="10"/>
      <c r="L7" s="10"/>
      <c r="M7" s="10"/>
      <c r="N7" s="10"/>
      <c r="O7" s="10" t="s">
        <v>3</v>
      </c>
      <c r="P7" s="10"/>
      <c r="Q7" s="11"/>
      <c r="R7" s="10"/>
    </row>
    <row r="8" customFormat="false" ht="15" hidden="false" customHeight="false" outlineLevel="0" collapsed="false">
      <c r="A8" s="7" t="s">
        <v>157</v>
      </c>
      <c r="B8" s="7" t="s">
        <v>158</v>
      </c>
      <c r="C8" s="7" t="s">
        <v>68</v>
      </c>
      <c r="D8" s="7" t="s">
        <v>159</v>
      </c>
      <c r="E8" s="7" t="s">
        <v>160</v>
      </c>
      <c r="F8" s="7" t="s">
        <v>161</v>
      </c>
      <c r="G8" s="9" t="s">
        <v>162</v>
      </c>
      <c r="H8" s="10"/>
      <c r="I8" s="10"/>
      <c r="J8" s="10"/>
      <c r="K8" s="10"/>
      <c r="L8" s="10"/>
      <c r="M8" s="10"/>
      <c r="N8" s="10"/>
      <c r="O8" s="10" t="s">
        <v>3</v>
      </c>
      <c r="P8" s="10"/>
      <c r="Q8" s="11"/>
      <c r="R8" s="10"/>
    </row>
    <row r="9" customFormat="false" ht="15" hidden="false" customHeight="false" outlineLevel="0" collapsed="false">
      <c r="A9" s="7" t="s">
        <v>163</v>
      </c>
      <c r="B9" s="7" t="s">
        <v>164</v>
      </c>
      <c r="C9" s="7" t="s">
        <v>68</v>
      </c>
      <c r="D9" s="7" t="s">
        <v>159</v>
      </c>
      <c r="E9" s="7" t="s">
        <v>165</v>
      </c>
      <c r="F9" s="7" t="s">
        <v>161</v>
      </c>
      <c r="G9" s="9" t="s">
        <v>162</v>
      </c>
      <c r="H9" s="10"/>
      <c r="I9" s="10"/>
      <c r="J9" s="10"/>
      <c r="K9" s="10"/>
      <c r="L9" s="10"/>
      <c r="M9" s="10"/>
      <c r="N9" s="10"/>
      <c r="O9" s="10" t="s">
        <v>3</v>
      </c>
      <c r="P9" s="10"/>
      <c r="Q9" s="11"/>
      <c r="R9" s="10"/>
    </row>
    <row r="10" customFormat="false" ht="15" hidden="false" customHeight="false" outlineLevel="0" collapsed="false">
      <c r="A10" s="7" t="s">
        <v>166</v>
      </c>
      <c r="B10" s="7" t="s">
        <v>167</v>
      </c>
      <c r="C10" s="7" t="s">
        <v>68</v>
      </c>
      <c r="D10" s="7" t="s">
        <v>168</v>
      </c>
      <c r="E10" s="7" t="s">
        <v>169</v>
      </c>
      <c r="F10" s="7" t="s">
        <v>161</v>
      </c>
      <c r="G10" s="9" t="s">
        <v>162</v>
      </c>
      <c r="H10" s="10"/>
      <c r="I10" s="10"/>
      <c r="J10" s="10"/>
      <c r="K10" s="10"/>
      <c r="L10" s="10"/>
      <c r="M10" s="10"/>
      <c r="N10" s="10"/>
      <c r="O10" s="10" t="s">
        <v>3</v>
      </c>
      <c r="P10" s="10"/>
      <c r="Q10" s="11"/>
      <c r="R10" s="10"/>
    </row>
    <row r="11" customFormat="false" ht="15" hidden="false" customHeight="false" outlineLevel="0" collapsed="false">
      <c r="A11" s="7" t="s">
        <v>170</v>
      </c>
      <c r="B11" s="7" t="s">
        <v>171</v>
      </c>
      <c r="C11" s="7" t="s">
        <v>68</v>
      </c>
      <c r="D11" s="7" t="s">
        <v>154</v>
      </c>
      <c r="E11" s="7" t="s">
        <v>172</v>
      </c>
      <c r="F11" s="7" t="s">
        <v>161</v>
      </c>
      <c r="G11" s="9" t="s">
        <v>162</v>
      </c>
      <c r="H11" s="10"/>
      <c r="I11" s="10"/>
      <c r="J11" s="10"/>
      <c r="K11" s="10"/>
      <c r="L11" s="10"/>
      <c r="M11" s="10"/>
      <c r="N11" s="10"/>
      <c r="O11" s="10" t="s">
        <v>3</v>
      </c>
      <c r="P11" s="10"/>
      <c r="Q11" s="11"/>
      <c r="R11" s="10"/>
    </row>
    <row r="12" customFormat="false" ht="15" hidden="false" customHeight="false" outlineLevel="0" collapsed="false">
      <c r="A12" s="7" t="s">
        <v>173</v>
      </c>
      <c r="B12" s="7" t="s">
        <v>174</v>
      </c>
      <c r="C12" s="7" t="s">
        <v>68</v>
      </c>
      <c r="D12" s="7" t="s">
        <v>159</v>
      </c>
      <c r="E12" s="7" t="s">
        <v>175</v>
      </c>
      <c r="F12" s="7" t="s">
        <v>161</v>
      </c>
      <c r="G12" s="9" t="s">
        <v>162</v>
      </c>
      <c r="H12" s="10"/>
      <c r="I12" s="10"/>
      <c r="J12" s="10"/>
      <c r="K12" s="10"/>
      <c r="L12" s="10"/>
      <c r="M12" s="10"/>
      <c r="N12" s="10"/>
      <c r="O12" s="10" t="s">
        <v>3</v>
      </c>
      <c r="P12" s="10"/>
      <c r="Q12" s="11"/>
      <c r="R12" s="10"/>
    </row>
    <row r="13" customFormat="false" ht="15" hidden="false" customHeight="false" outlineLevel="0" collapsed="false">
      <c r="A13" s="7" t="s">
        <v>176</v>
      </c>
      <c r="B13" s="7" t="s">
        <v>177</v>
      </c>
      <c r="C13" s="7" t="s">
        <v>68</v>
      </c>
      <c r="D13" s="7" t="s">
        <v>159</v>
      </c>
      <c r="E13" s="7" t="s">
        <v>178</v>
      </c>
      <c r="F13" s="7" t="s">
        <v>161</v>
      </c>
      <c r="G13" s="9" t="s">
        <v>162</v>
      </c>
      <c r="H13" s="10"/>
      <c r="I13" s="10"/>
      <c r="J13" s="10"/>
      <c r="K13" s="10"/>
      <c r="L13" s="10"/>
      <c r="M13" s="10"/>
      <c r="N13" s="10"/>
      <c r="O13" s="10" t="s">
        <v>3</v>
      </c>
      <c r="P13" s="10"/>
      <c r="Q13" s="11"/>
      <c r="R13" s="10"/>
    </row>
    <row r="14" customFormat="false" ht="15" hidden="false" customHeight="false" outlineLevel="0" collapsed="false">
      <c r="A14" s="7" t="s">
        <v>179</v>
      </c>
      <c r="B14" s="7" t="s">
        <v>180</v>
      </c>
      <c r="C14" s="7" t="s">
        <v>68</v>
      </c>
      <c r="D14" s="7" t="s">
        <v>181</v>
      </c>
      <c r="E14" s="7" t="s">
        <v>182</v>
      </c>
      <c r="F14" s="7" t="s">
        <v>161</v>
      </c>
      <c r="G14" s="9" t="s">
        <v>162</v>
      </c>
      <c r="H14" s="10"/>
      <c r="I14" s="10"/>
      <c r="J14" s="10"/>
      <c r="K14" s="10"/>
      <c r="L14" s="10"/>
      <c r="M14" s="10"/>
      <c r="N14" s="10"/>
      <c r="O14" s="10" t="s">
        <v>3</v>
      </c>
      <c r="P14" s="10"/>
      <c r="Q14" s="11"/>
      <c r="R14" s="10"/>
    </row>
    <row r="15" customFormat="false" ht="15" hidden="false" customHeight="false" outlineLevel="0" collapsed="false">
      <c r="A15" s="7" t="s">
        <v>183</v>
      </c>
      <c r="B15" s="7" t="s">
        <v>184</v>
      </c>
      <c r="C15" s="7" t="s">
        <v>68</v>
      </c>
      <c r="D15" s="7" t="s">
        <v>159</v>
      </c>
      <c r="E15" s="7" t="s">
        <v>185</v>
      </c>
      <c r="F15" s="7" t="s">
        <v>161</v>
      </c>
      <c r="G15" s="9" t="s">
        <v>162</v>
      </c>
      <c r="H15" s="10"/>
      <c r="I15" s="10"/>
      <c r="J15" s="10"/>
      <c r="K15" s="10"/>
      <c r="L15" s="10"/>
      <c r="M15" s="10"/>
      <c r="N15" s="10"/>
      <c r="O15" s="10" t="s">
        <v>3</v>
      </c>
      <c r="P15" s="10"/>
      <c r="Q15" s="11"/>
      <c r="R15" s="10"/>
    </row>
    <row r="16" customFormat="false" ht="15" hidden="false" customHeight="false" outlineLevel="0" collapsed="false">
      <c r="A16" s="7" t="s">
        <v>186</v>
      </c>
      <c r="B16" s="7" t="s">
        <v>187</v>
      </c>
      <c r="C16" s="7" t="s">
        <v>68</v>
      </c>
      <c r="D16" s="7" t="s">
        <v>181</v>
      </c>
      <c r="E16" s="7" t="s">
        <v>188</v>
      </c>
      <c r="F16" s="7" t="s">
        <v>189</v>
      </c>
      <c r="G16" s="9" t="s">
        <v>162</v>
      </c>
      <c r="H16" s="10"/>
      <c r="I16" s="10"/>
      <c r="J16" s="10"/>
      <c r="K16" s="10"/>
      <c r="L16" s="10"/>
      <c r="M16" s="10"/>
      <c r="N16" s="10"/>
      <c r="O16" s="10" t="s">
        <v>3</v>
      </c>
      <c r="P16" s="10"/>
      <c r="Q16" s="11"/>
      <c r="R16" s="10"/>
    </row>
    <row r="17" customFormat="false" ht="23.85" hidden="false" customHeight="false" outlineLevel="0" collapsed="false">
      <c r="A17" s="7" t="s">
        <v>190</v>
      </c>
      <c r="B17" s="7" t="s">
        <v>191</v>
      </c>
      <c r="C17" s="7" t="s">
        <v>68</v>
      </c>
      <c r="D17" s="7" t="s">
        <v>181</v>
      </c>
      <c r="E17" s="7" t="s">
        <v>192</v>
      </c>
      <c r="F17" s="7" t="s">
        <v>193</v>
      </c>
      <c r="G17" s="9" t="s">
        <v>162</v>
      </c>
      <c r="H17" s="10"/>
      <c r="I17" s="10"/>
      <c r="J17" s="10"/>
      <c r="K17" s="10"/>
      <c r="L17" s="10"/>
      <c r="M17" s="10"/>
      <c r="N17" s="10"/>
      <c r="O17" s="10" t="s">
        <v>3</v>
      </c>
      <c r="P17" s="10"/>
      <c r="Q17" s="11"/>
      <c r="R17" s="10"/>
    </row>
    <row r="18" customFormat="false" ht="23.85" hidden="false" customHeight="false" outlineLevel="0" collapsed="false">
      <c r="A18" s="7" t="s">
        <v>194</v>
      </c>
      <c r="B18" s="7" t="s">
        <v>195</v>
      </c>
      <c r="C18" s="7" t="s">
        <v>196</v>
      </c>
      <c r="D18" s="7" t="s">
        <v>197</v>
      </c>
      <c r="E18" s="7" t="s">
        <v>198</v>
      </c>
      <c r="F18" s="7" t="s">
        <v>199</v>
      </c>
      <c r="G18" s="9" t="s">
        <v>200</v>
      </c>
      <c r="H18" s="10"/>
      <c r="I18" s="10"/>
      <c r="J18" s="10"/>
      <c r="K18" s="10"/>
      <c r="L18" s="10"/>
      <c r="M18" s="10"/>
      <c r="N18" s="10"/>
      <c r="O18" s="10" t="s">
        <v>3</v>
      </c>
      <c r="P18" s="10"/>
      <c r="Q18" s="11"/>
      <c r="R18" s="10"/>
    </row>
    <row r="19" customFormat="false" ht="23.85" hidden="false" customHeight="false" outlineLevel="0" collapsed="false">
      <c r="A19" s="7" t="s">
        <v>201</v>
      </c>
      <c r="B19" s="7" t="s">
        <v>202</v>
      </c>
      <c r="C19" s="7" t="s">
        <v>203</v>
      </c>
      <c r="D19" s="7" t="s">
        <v>204</v>
      </c>
      <c r="E19" s="7" t="s">
        <v>205</v>
      </c>
      <c r="F19" s="7" t="s">
        <v>206</v>
      </c>
      <c r="G19" s="9" t="s">
        <v>207</v>
      </c>
      <c r="H19" s="10"/>
      <c r="I19" s="10"/>
      <c r="J19" s="10"/>
      <c r="K19" s="10"/>
      <c r="L19" s="10"/>
      <c r="M19" s="10"/>
      <c r="N19" s="10"/>
      <c r="O19" s="10" t="s">
        <v>3</v>
      </c>
      <c r="P19" s="10"/>
      <c r="Q19" s="11"/>
      <c r="R19" s="10"/>
    </row>
    <row r="20" customFormat="false" ht="23.85" hidden="false" customHeight="false" outlineLevel="0" collapsed="false">
      <c r="A20" s="7" t="s">
        <v>208</v>
      </c>
      <c r="B20" s="7" t="s">
        <v>209</v>
      </c>
      <c r="C20" s="7" t="s">
        <v>203</v>
      </c>
      <c r="D20" s="7" t="s">
        <v>210</v>
      </c>
      <c r="E20" s="7" t="s">
        <v>211</v>
      </c>
      <c r="F20" s="7" t="s">
        <v>212</v>
      </c>
      <c r="G20" s="9" t="s">
        <v>207</v>
      </c>
      <c r="H20" s="10"/>
      <c r="I20" s="10"/>
      <c r="J20" s="10"/>
      <c r="K20" s="10"/>
      <c r="L20" s="10"/>
      <c r="M20" s="10"/>
      <c r="N20" s="10"/>
      <c r="O20" s="10" t="s">
        <v>3</v>
      </c>
      <c r="P20" s="10"/>
      <c r="Q20" s="11"/>
      <c r="R20" s="10"/>
    </row>
    <row r="21" customFormat="false" ht="23.85" hidden="false" customHeight="false" outlineLevel="0" collapsed="false">
      <c r="A21" s="7" t="s">
        <v>213</v>
      </c>
      <c r="B21" s="7" t="s">
        <v>214</v>
      </c>
      <c r="C21" s="7" t="s">
        <v>203</v>
      </c>
      <c r="D21" s="7" t="s">
        <v>215</v>
      </c>
      <c r="E21" s="7" t="s">
        <v>216</v>
      </c>
      <c r="F21" s="7" t="s">
        <v>217</v>
      </c>
      <c r="G21" s="9" t="s">
        <v>207</v>
      </c>
      <c r="H21" s="10"/>
      <c r="I21" s="10"/>
      <c r="J21" s="10"/>
      <c r="K21" s="10"/>
      <c r="L21" s="10"/>
      <c r="M21" s="10"/>
      <c r="N21" s="10"/>
      <c r="O21" s="10" t="s">
        <v>3</v>
      </c>
      <c r="P21" s="10"/>
      <c r="Q21" s="11"/>
      <c r="R21" s="10"/>
    </row>
    <row r="22" customFormat="false" ht="23.85" hidden="false" customHeight="false" outlineLevel="0" collapsed="false">
      <c r="A22" s="7" t="s">
        <v>218</v>
      </c>
      <c r="B22" s="7" t="s">
        <v>219</v>
      </c>
      <c r="C22" s="7" t="s">
        <v>220</v>
      </c>
      <c r="D22" s="7" t="s">
        <v>221</v>
      </c>
      <c r="E22" s="7" t="s">
        <v>222</v>
      </c>
      <c r="F22" s="7" t="s">
        <v>223</v>
      </c>
      <c r="G22" s="9" t="s">
        <v>224</v>
      </c>
      <c r="H22" s="10"/>
      <c r="I22" s="10"/>
      <c r="J22" s="10"/>
      <c r="K22" s="10"/>
      <c r="L22" s="10"/>
      <c r="M22" s="10"/>
      <c r="N22" s="10"/>
      <c r="O22" s="10" t="s">
        <v>3</v>
      </c>
      <c r="P22" s="10"/>
      <c r="Q22" s="11"/>
      <c r="R22" s="10"/>
    </row>
    <row r="23" customFormat="false" ht="23.85" hidden="false" customHeight="false" outlineLevel="0" collapsed="false">
      <c r="A23" s="7" t="s">
        <v>225</v>
      </c>
      <c r="B23" s="7" t="s">
        <v>226</v>
      </c>
      <c r="C23" s="7" t="s">
        <v>227</v>
      </c>
      <c r="D23" s="7" t="s">
        <v>159</v>
      </c>
      <c r="E23" s="7" t="s">
        <v>228</v>
      </c>
      <c r="F23" s="7" t="s">
        <v>229</v>
      </c>
      <c r="G23" s="9" t="s">
        <v>224</v>
      </c>
      <c r="H23" s="10"/>
      <c r="I23" s="10"/>
      <c r="J23" s="10"/>
      <c r="K23" s="10"/>
      <c r="L23" s="10"/>
      <c r="M23" s="10"/>
      <c r="N23" s="10"/>
      <c r="O23" s="10" t="s">
        <v>3</v>
      </c>
      <c r="P23" s="10"/>
      <c r="Q23" s="11"/>
      <c r="R23" s="10"/>
    </row>
    <row r="24" customFormat="false" ht="15" hidden="false" customHeight="false" outlineLevel="0" collapsed="false">
      <c r="A24" s="7" t="s">
        <v>230</v>
      </c>
      <c r="B24" s="7" t="s">
        <v>231</v>
      </c>
      <c r="C24" s="7" t="s">
        <v>227</v>
      </c>
      <c r="D24" s="7" t="s">
        <v>159</v>
      </c>
      <c r="E24" s="7" t="s">
        <v>232</v>
      </c>
      <c r="F24" s="7" t="s">
        <v>233</v>
      </c>
      <c r="G24" s="9" t="s">
        <v>224</v>
      </c>
      <c r="H24" s="10"/>
      <c r="I24" s="10"/>
      <c r="J24" s="10"/>
      <c r="K24" s="10"/>
      <c r="L24" s="10"/>
      <c r="M24" s="10"/>
      <c r="N24" s="10"/>
      <c r="O24" s="10" t="s">
        <v>3</v>
      </c>
      <c r="P24" s="10"/>
      <c r="Q24" s="11"/>
      <c r="R24" s="10"/>
    </row>
    <row r="25" customFormat="false" ht="15" hidden="false" customHeight="false" outlineLevel="0" collapsed="false">
      <c r="A25" s="7" t="s">
        <v>234</v>
      </c>
      <c r="B25" s="7" t="s">
        <v>235</v>
      </c>
      <c r="C25" s="7" t="s">
        <v>227</v>
      </c>
      <c r="D25" s="7" t="s">
        <v>236</v>
      </c>
      <c r="E25" s="7" t="s">
        <v>237</v>
      </c>
      <c r="F25" s="7" t="s">
        <v>238</v>
      </c>
      <c r="G25" s="9" t="s">
        <v>239</v>
      </c>
      <c r="H25" s="10"/>
      <c r="I25" s="10"/>
      <c r="J25" s="10"/>
      <c r="K25" s="10"/>
      <c r="L25" s="10"/>
      <c r="M25" s="10"/>
      <c r="N25" s="10"/>
      <c r="O25" s="10" t="s">
        <v>3</v>
      </c>
      <c r="P25" s="10"/>
      <c r="Q25" s="11"/>
      <c r="R25" s="10"/>
    </row>
    <row r="26" customFormat="false" ht="15" hidden="false" customHeight="false" outlineLevel="0" collapsed="false">
      <c r="A26" s="7" t="s">
        <v>240</v>
      </c>
      <c r="B26" s="7" t="s">
        <v>241</v>
      </c>
      <c r="C26" s="7" t="s">
        <v>242</v>
      </c>
      <c r="D26" s="7" t="s">
        <v>236</v>
      </c>
      <c r="E26" s="7" t="s">
        <v>243</v>
      </c>
      <c r="F26" s="7" t="s">
        <v>244</v>
      </c>
      <c r="G26" s="9" t="s">
        <v>245</v>
      </c>
      <c r="H26" s="10"/>
      <c r="I26" s="10"/>
      <c r="J26" s="10"/>
      <c r="K26" s="10"/>
      <c r="L26" s="10"/>
      <c r="M26" s="10"/>
      <c r="N26" s="10"/>
      <c r="O26" s="10" t="s">
        <v>3</v>
      </c>
      <c r="P26" s="10"/>
      <c r="Q26" s="11"/>
      <c r="R26" s="10"/>
    </row>
    <row r="27" customFormat="false" ht="15" hidden="false" customHeight="false" outlineLevel="0" collapsed="false">
      <c r="A27" s="7" t="s">
        <v>246</v>
      </c>
      <c r="B27" s="7" t="s">
        <v>247</v>
      </c>
      <c r="C27" s="7" t="s">
        <v>220</v>
      </c>
      <c r="D27" s="7" t="s">
        <v>159</v>
      </c>
      <c r="E27" s="7" t="s">
        <v>248</v>
      </c>
      <c r="F27" s="7" t="s">
        <v>249</v>
      </c>
      <c r="G27" s="9" t="s">
        <v>250</v>
      </c>
      <c r="H27" s="10"/>
      <c r="I27" s="10"/>
      <c r="J27" s="10"/>
      <c r="K27" s="10"/>
      <c r="L27" s="10"/>
      <c r="M27" s="10"/>
      <c r="N27" s="10"/>
      <c r="O27" s="10" t="s">
        <v>3</v>
      </c>
      <c r="P27" s="10"/>
      <c r="Q27" s="11"/>
      <c r="R27" s="10"/>
    </row>
    <row r="28" customFormat="false" ht="23.85" hidden="false" customHeight="false" outlineLevel="0" collapsed="false">
      <c r="A28" s="7" t="s">
        <v>251</v>
      </c>
      <c r="B28" s="7" t="s">
        <v>252</v>
      </c>
      <c r="C28" s="7" t="s">
        <v>253</v>
      </c>
      <c r="D28" s="7" t="s">
        <v>154</v>
      </c>
      <c r="E28" s="7" t="s">
        <v>254</v>
      </c>
      <c r="F28" s="7" t="s">
        <v>255</v>
      </c>
      <c r="G28" s="9" t="s">
        <v>224</v>
      </c>
      <c r="H28" s="10"/>
      <c r="I28" s="10"/>
      <c r="J28" s="10"/>
      <c r="K28" s="10"/>
      <c r="L28" s="10"/>
      <c r="M28" s="10"/>
      <c r="N28" s="10"/>
      <c r="O28" s="10" t="s">
        <v>3</v>
      </c>
      <c r="P28" s="10"/>
      <c r="Q28" s="11"/>
      <c r="R28" s="10"/>
    </row>
    <row r="29" customFormat="false" ht="23.85" hidden="false" customHeight="false" outlineLevel="0" collapsed="false">
      <c r="A29" s="7" t="s">
        <v>256</v>
      </c>
      <c r="B29" s="7" t="s">
        <v>257</v>
      </c>
      <c r="C29" s="7" t="s">
        <v>258</v>
      </c>
      <c r="D29" s="7" t="s">
        <v>259</v>
      </c>
      <c r="E29" s="7" t="s">
        <v>260</v>
      </c>
      <c r="F29" s="7" t="s">
        <v>261</v>
      </c>
      <c r="G29" s="9" t="s">
        <v>224</v>
      </c>
      <c r="H29" s="10"/>
      <c r="I29" s="10"/>
      <c r="J29" s="10"/>
      <c r="K29" s="10"/>
      <c r="L29" s="10"/>
      <c r="M29" s="10"/>
      <c r="N29" s="10"/>
      <c r="O29" s="10" t="s">
        <v>3</v>
      </c>
      <c r="P29" s="10"/>
      <c r="Q29" s="11"/>
      <c r="R29" s="10"/>
    </row>
    <row r="30" customFormat="false" ht="15" hidden="false" customHeight="false" outlineLevel="0" collapsed="false">
      <c r="A30" s="7" t="s">
        <v>262</v>
      </c>
      <c r="B30" s="7" t="s">
        <v>263</v>
      </c>
      <c r="C30" s="7" t="s">
        <v>264</v>
      </c>
      <c r="D30" s="7" t="s">
        <v>159</v>
      </c>
      <c r="E30" s="7" t="s">
        <v>265</v>
      </c>
      <c r="F30" s="7" t="s">
        <v>266</v>
      </c>
      <c r="G30" s="9" t="s">
        <v>267</v>
      </c>
      <c r="H30" s="10"/>
      <c r="I30" s="10"/>
      <c r="J30" s="10"/>
      <c r="K30" s="10"/>
      <c r="L30" s="10"/>
      <c r="M30" s="10"/>
      <c r="N30" s="10"/>
      <c r="O30" s="10" t="s">
        <v>3</v>
      </c>
      <c r="P30" s="10"/>
      <c r="Q30" s="11"/>
      <c r="R30" s="10"/>
    </row>
    <row r="31" customFormat="false" ht="23.85" hidden="false" customHeight="false" outlineLevel="0" collapsed="false">
      <c r="A31" s="7" t="s">
        <v>268</v>
      </c>
      <c r="B31" s="7" t="s">
        <v>269</v>
      </c>
      <c r="C31" s="7" t="s">
        <v>270</v>
      </c>
      <c r="D31" s="7" t="s">
        <v>271</v>
      </c>
      <c r="E31" s="7" t="s">
        <v>272</v>
      </c>
      <c r="F31" s="7" t="s">
        <v>273</v>
      </c>
      <c r="G31" s="9" t="s">
        <v>274</v>
      </c>
      <c r="H31" s="10"/>
      <c r="I31" s="10"/>
      <c r="J31" s="10"/>
      <c r="K31" s="10"/>
      <c r="L31" s="10"/>
      <c r="M31" s="10"/>
      <c r="N31" s="10"/>
      <c r="O31" s="10" t="s">
        <v>3</v>
      </c>
      <c r="P31" s="10"/>
      <c r="Q31" s="11"/>
      <c r="R31" s="10"/>
    </row>
    <row r="32" customFormat="false" ht="23.85" hidden="false" customHeight="false" outlineLevel="0" collapsed="false">
      <c r="A32" s="7" t="s">
        <v>275</v>
      </c>
      <c r="B32" s="7" t="s">
        <v>276</v>
      </c>
      <c r="C32" s="7" t="s">
        <v>277</v>
      </c>
      <c r="D32" s="7" t="s">
        <v>204</v>
      </c>
      <c r="E32" s="7" t="s">
        <v>278</v>
      </c>
      <c r="F32" s="7" t="s">
        <v>279</v>
      </c>
      <c r="G32" s="9" t="s">
        <v>151</v>
      </c>
      <c r="H32" s="10"/>
      <c r="I32" s="10"/>
      <c r="J32" s="10"/>
      <c r="K32" s="10"/>
      <c r="L32" s="10"/>
      <c r="M32" s="10"/>
      <c r="N32" s="10"/>
      <c r="O32" s="10" t="s">
        <v>3</v>
      </c>
      <c r="P32" s="10"/>
      <c r="Q32" s="11"/>
      <c r="R32" s="10"/>
    </row>
    <row r="33" customFormat="false" ht="15" hidden="false" customHeight="false" outlineLevel="0" collapsed="false">
      <c r="A33" s="7" t="s">
        <v>280</v>
      </c>
      <c r="B33" s="7" t="s">
        <v>281</v>
      </c>
      <c r="C33" s="7" t="s">
        <v>277</v>
      </c>
      <c r="D33" s="7" t="s">
        <v>204</v>
      </c>
      <c r="E33" s="7" t="s">
        <v>282</v>
      </c>
      <c r="F33" s="7" t="s">
        <v>283</v>
      </c>
      <c r="G33" s="9" t="s">
        <v>284</v>
      </c>
      <c r="H33" s="10"/>
      <c r="I33" s="10"/>
      <c r="J33" s="10"/>
      <c r="K33" s="10"/>
      <c r="L33" s="10"/>
      <c r="M33" s="10"/>
      <c r="N33" s="10"/>
      <c r="O33" s="10" t="s">
        <v>3</v>
      </c>
      <c r="P33" s="10"/>
      <c r="Q33" s="11"/>
      <c r="R33" s="10"/>
    </row>
    <row r="34" customFormat="false" ht="15" hidden="false" customHeight="false" outlineLevel="0" collapsed="false">
      <c r="A34" s="7" t="s">
        <v>285</v>
      </c>
      <c r="B34" s="7" t="s">
        <v>286</v>
      </c>
      <c r="C34" s="7" t="s">
        <v>287</v>
      </c>
      <c r="D34" s="7" t="s">
        <v>204</v>
      </c>
      <c r="E34" s="7" t="s">
        <v>288</v>
      </c>
      <c r="F34" s="7" t="s">
        <v>289</v>
      </c>
      <c r="G34" s="9" t="s">
        <v>284</v>
      </c>
      <c r="H34" s="10"/>
      <c r="I34" s="10"/>
      <c r="J34" s="10"/>
      <c r="K34" s="10"/>
      <c r="L34" s="10"/>
      <c r="M34" s="10"/>
      <c r="N34" s="10"/>
      <c r="O34" s="10" t="s">
        <v>3</v>
      </c>
      <c r="P34" s="10"/>
      <c r="Q34" s="11"/>
      <c r="R34" s="10"/>
    </row>
    <row r="35" customFormat="false" ht="23.85" hidden="false" customHeight="false" outlineLevel="0" collapsed="false">
      <c r="A35" s="7" t="s">
        <v>290</v>
      </c>
      <c r="B35" s="7" t="s">
        <v>291</v>
      </c>
      <c r="C35" s="7" t="s">
        <v>287</v>
      </c>
      <c r="D35" s="7" t="s">
        <v>292</v>
      </c>
      <c r="E35" s="7" t="s">
        <v>293</v>
      </c>
      <c r="F35" s="7" t="s">
        <v>294</v>
      </c>
      <c r="G35" s="9" t="s">
        <v>284</v>
      </c>
      <c r="H35" s="10"/>
      <c r="I35" s="10"/>
      <c r="J35" s="10"/>
      <c r="K35" s="10"/>
      <c r="L35" s="10"/>
      <c r="M35" s="10"/>
      <c r="N35" s="10"/>
      <c r="O35" s="10" t="s">
        <v>3</v>
      </c>
      <c r="P35" s="10"/>
      <c r="Q35" s="11"/>
      <c r="R35" s="10"/>
    </row>
  </sheetData>
  <autoFilter ref="A5:R35"/>
  <mergeCells count="1">
    <mergeCell ref="A2:R2"/>
  </mergeCells>
  <conditionalFormatting sqref="O6:O35">
    <cfRule type="expression" priority="2" aboveAverage="0" equalAverage="0" bottom="0" percent="0" rank="0" text="" dxfId="6">
      <formula>$O6="Added"</formula>
    </cfRule>
  </conditionalFormatting>
  <dataValidations count="2">
    <dataValidation allowBlank="false" errorStyle="stop" operator="between" showDropDown="false" showErrorMessage="false" showInputMessage="false" sqref="O6:O35" type="list">
      <formula1>"To do,Added,Not running"</formula1>
      <formula2>0</formula2>
    </dataValidation>
    <dataValidation allowBlank="true" errorStyle="stop" operator="between" showDropDown="false" showErrorMessage="false" showInputMessage="false" sqref="N6:N35" type="list">
      <formula1>"yes,no"</formula1>
      <formula2>0</formula2>
    </dataValidation>
  </dataValidations>
  <hyperlinks>
    <hyperlink ref="G6" r:id="rId1" display="https://www.csulb.edu/article/things-to-try-before-graduating"/>
    <hyperlink ref="G7" r:id="rId2" display="https://www.csulb.edu/article/things-to-try-before-graduating"/>
    <hyperlink ref="G8" r:id="rId3" display="https://asicsulb.org/corporate/enjoy/beach-pride-center"/>
    <hyperlink ref="G9" r:id="rId4" display="https://asicsulb.org/corporate/enjoy/beach-pride-center"/>
    <hyperlink ref="G10" r:id="rId5" display="https://asicsulb.org/corporate/enjoy/beach-pride-center"/>
    <hyperlink ref="G11" r:id="rId6" display="https://asicsulb.org/corporate/enjoy/beach-pride-center"/>
    <hyperlink ref="G12" r:id="rId7" display="https://asicsulb.org/corporate/enjoy/beach-pride-center"/>
    <hyperlink ref="G13" r:id="rId8" display="https://asicsulb.org/corporate/enjoy/beach-pride-center"/>
    <hyperlink ref="G14" r:id="rId9" display="https://asicsulb.org/corporate/enjoy/beach-pride-center"/>
    <hyperlink ref="G15" r:id="rId10" display="https://asicsulb.org/corporate/enjoy/beach-pride-center"/>
    <hyperlink ref="G16" r:id="rId11" display="https://asicsulb.org/corporate/enjoy/beach-pride-center"/>
    <hyperlink ref="G17" r:id="rId12" display="https://asicsulb.org/corporate/enjoy/beach-pride-center"/>
    <hyperlink ref="G18" r:id="rId13" display="https://www.asicsulb.org/finals"/>
    <hyperlink ref="G19" r:id="rId14" display="https://asirecreation.org/rock-outdoor"/>
    <hyperlink ref="G20" r:id="rId15" display="https://asirecreation.org/rock-outdoor"/>
    <hyperlink ref="G21" r:id="rId16" display="https://asirecreation.org/rock-outdoor"/>
    <hyperlink ref="G22" r:id="rId17" display="https://www.asicsulb.org/corporate/discover/srwc"/>
    <hyperlink ref="G23" r:id="rId18" display="https://www.asicsulb.org/corporate/discover/srwc"/>
    <hyperlink ref="G24" r:id="rId19" display="https://www.asicsulb.org/corporate/discover/srwc"/>
    <hyperlink ref="G25" r:id="rId20" display="https://www.asirecreation.org/beach-balance/2-uncategorised/710-aquatics-featured-event-group-swim"/>
    <hyperlink ref="G26" r:id="rId21" display="https://www.asirecreation.org/beach-balance/54-fitness/featured-events/408-coffee-with-a-trainer"/>
    <hyperlink ref="G27" r:id="rId22" display="https://www.asirecreation.org/beach-balance/25-fitness/639-womxn-and-ally-night-fall"/>
    <hyperlink ref="G28" r:id="rId23" display="https://www.asicsulb.org/corporate/discover/srwc"/>
    <hyperlink ref="G29" r:id="rId24" display="https://www.asicsulb.org/corporate/discover/srwc"/>
    <hyperlink ref="G30" r:id="rId25" display="https://asirecreation.org/fitness/28-beach-balance/649-usu-beach-balance-relaxation-station"/>
    <hyperlink ref="G31" r:id="rId26" display="https://www.csulb.edu/node/515706"/>
    <hyperlink ref="G32" r:id="rId27" display="https://www.csulb.edu/article/things-to-try-before-graduating"/>
    <hyperlink ref="G33" r:id="rId28" display="https://www.csulb.edu/news/article/eight-free-or-low-cost-things-to-do-at-csulb-during-the-summer"/>
    <hyperlink ref="G34" r:id="rId29" display="https://www.csulb.edu/news/article/eight-free-or-low-cost-things-to-do-at-csulb-during-the-summer"/>
    <hyperlink ref="G35" r:id="rId30" display="https://www.csulb.edu/news/article/eight-free-or-low-cost-things-to-do-at-csulb-during-the-summer"/>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3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40"/>
    <col collapsed="false" customWidth="true" hidden="false" outlineLevel="0" max="3" min="3" style="0" width="90"/>
  </cols>
  <sheetData>
    <row r="1" customFormat="false" ht="17.35" hidden="false" customHeight="false" outlineLevel="0" collapsed="false">
      <c r="A1" s="1" t="s">
        <v>295</v>
      </c>
    </row>
    <row r="2" customFormat="false" ht="15" hidden="false" customHeight="false" outlineLevel="0" collapsed="false">
      <c r="A2" s="4" t="s">
        <v>296</v>
      </c>
    </row>
    <row r="4" customFormat="false" ht="15" hidden="false" customHeight="false" outlineLevel="0" collapsed="false">
      <c r="A4" s="12" t="s">
        <v>297</v>
      </c>
      <c r="B4" s="12" t="s">
        <v>298</v>
      </c>
      <c r="C4" s="12" t="s">
        <v>299</v>
      </c>
    </row>
    <row r="5" customFormat="false" ht="23.85" hidden="false" customHeight="false" outlineLevel="0" collapsed="false">
      <c r="A5" s="7" t="s">
        <v>300</v>
      </c>
      <c r="B5" s="7" t="s">
        <v>301</v>
      </c>
      <c r="C5" s="9" t="s">
        <v>302</v>
      </c>
    </row>
    <row r="6" customFormat="false" ht="15" hidden="false" customHeight="false" outlineLevel="0" collapsed="false">
      <c r="A6" s="7" t="s">
        <v>303</v>
      </c>
      <c r="B6" s="7" t="s">
        <v>304</v>
      </c>
      <c r="C6" s="9" t="s">
        <v>305</v>
      </c>
    </row>
    <row r="7" customFormat="false" ht="15" hidden="false" customHeight="false" outlineLevel="0" collapsed="false">
      <c r="A7" s="7" t="s">
        <v>306</v>
      </c>
      <c r="B7" s="7" t="s">
        <v>307</v>
      </c>
      <c r="C7" s="9" t="s">
        <v>239</v>
      </c>
    </row>
    <row r="8" customFormat="false" ht="15" hidden="false" customHeight="false" outlineLevel="0" collapsed="false">
      <c r="A8" s="7" t="s">
        <v>308</v>
      </c>
      <c r="B8" s="7" t="s">
        <v>309</v>
      </c>
      <c r="C8" s="9" t="s">
        <v>310</v>
      </c>
    </row>
    <row r="9" customFormat="false" ht="15" hidden="false" customHeight="false" outlineLevel="0" collapsed="false">
      <c r="A9" s="7" t="s">
        <v>311</v>
      </c>
      <c r="B9" s="7" t="s">
        <v>312</v>
      </c>
      <c r="C9" s="9" t="s">
        <v>313</v>
      </c>
    </row>
    <row r="10" customFormat="false" ht="15" hidden="false" customHeight="false" outlineLevel="0" collapsed="false">
      <c r="A10" s="7" t="s">
        <v>314</v>
      </c>
      <c r="B10" s="7" t="s">
        <v>315</v>
      </c>
      <c r="C10" s="9" t="s">
        <v>316</v>
      </c>
    </row>
    <row r="11" customFormat="false" ht="23.85" hidden="false" customHeight="false" outlineLevel="0" collapsed="false">
      <c r="A11" s="7" t="s">
        <v>317</v>
      </c>
      <c r="B11" s="7" t="s">
        <v>318</v>
      </c>
      <c r="C11" s="9" t="s">
        <v>319</v>
      </c>
    </row>
    <row r="12" customFormat="false" ht="15" hidden="false" customHeight="false" outlineLevel="0" collapsed="false">
      <c r="A12" s="7" t="s">
        <v>320</v>
      </c>
      <c r="B12" s="7" t="s">
        <v>321</v>
      </c>
      <c r="C12" s="9" t="s">
        <v>322</v>
      </c>
    </row>
    <row r="13" customFormat="false" ht="15" hidden="false" customHeight="false" outlineLevel="0" collapsed="false">
      <c r="A13" s="7" t="s">
        <v>323</v>
      </c>
      <c r="B13" s="7" t="s">
        <v>324</v>
      </c>
      <c r="C13" s="9" t="s">
        <v>325</v>
      </c>
    </row>
    <row r="14" customFormat="false" ht="15" hidden="false" customHeight="false" outlineLevel="0" collapsed="false">
      <c r="A14" s="7" t="s">
        <v>326</v>
      </c>
      <c r="B14" s="7" t="s">
        <v>327</v>
      </c>
      <c r="C14" s="9" t="s">
        <v>162</v>
      </c>
    </row>
    <row r="15" customFormat="false" ht="15" hidden="false" customHeight="false" outlineLevel="0" collapsed="false">
      <c r="A15" s="7" t="s">
        <v>328</v>
      </c>
      <c r="B15" s="7" t="s">
        <v>203</v>
      </c>
      <c r="C15" s="9" t="s">
        <v>207</v>
      </c>
    </row>
    <row r="16" customFormat="false" ht="23.85" hidden="false" customHeight="false" outlineLevel="0" collapsed="false">
      <c r="A16" s="7" t="s">
        <v>329</v>
      </c>
      <c r="B16" s="7" t="s">
        <v>330</v>
      </c>
      <c r="C16" s="9" t="s">
        <v>224</v>
      </c>
    </row>
    <row r="17" customFormat="false" ht="15" hidden="false" customHeight="false" outlineLevel="0" collapsed="false">
      <c r="A17" s="7" t="s">
        <v>331</v>
      </c>
      <c r="B17" s="7" t="s">
        <v>332</v>
      </c>
      <c r="C17" s="9" t="s">
        <v>200</v>
      </c>
    </row>
    <row r="18" customFormat="false" ht="15" hidden="false" customHeight="false" outlineLevel="0" collapsed="false">
      <c r="A18" s="7" t="s">
        <v>333</v>
      </c>
      <c r="B18" s="7" t="s">
        <v>334</v>
      </c>
      <c r="C18" s="9" t="s">
        <v>274</v>
      </c>
    </row>
    <row r="19" customFormat="false" ht="15" hidden="false" customHeight="false" outlineLevel="0" collapsed="false">
      <c r="A19" s="7" t="s">
        <v>335</v>
      </c>
      <c r="B19" s="7" t="s">
        <v>336</v>
      </c>
      <c r="C19" s="9" t="s">
        <v>151</v>
      </c>
    </row>
    <row r="20" customFormat="false" ht="15" hidden="false" customHeight="false" outlineLevel="0" collapsed="false">
      <c r="A20" s="7" t="s">
        <v>337</v>
      </c>
      <c r="B20" s="7" t="s">
        <v>338</v>
      </c>
      <c r="C20" s="9" t="s">
        <v>284</v>
      </c>
    </row>
    <row r="21" customFormat="false" ht="15" hidden="false" customHeight="false" outlineLevel="0" collapsed="false">
      <c r="A21" s="7" t="s">
        <v>339</v>
      </c>
      <c r="B21" s="7" t="s">
        <v>84</v>
      </c>
      <c r="C21" s="9" t="s">
        <v>340</v>
      </c>
    </row>
  </sheetData>
  <hyperlinks>
    <hyperlink ref="C5" r:id="rId1" display="https://asicsulb.org/corporate/enjoy/event-calendar/11854"/>
    <hyperlink ref="C6" r:id="rId2" display="https://mail.asicsulb.org/corporate/connect/beachfront/events?start=27"/>
    <hyperlink ref="C7" r:id="rId3" display="https://www.asirecreation.org/beach-balance/2-uncategorised/710-aquatics-featured-event-group-swim"/>
    <hyperlink ref="C8" r:id="rId4" display="https://www.csulb.edu/node/160991"/>
    <hyperlink ref="C9" r:id="rId5" display="https://www.csulb.edu/student-affairs/counseling-and-psychological-services/group-counseling-at-caps"/>
    <hyperlink ref="C10" r:id="rId6" display="https://www.csulb.edu/student-affairs/counseling-and-psychological-services"/>
    <hyperlink ref="C11" r:id="rId7" display="https://www.csulb.edu/student-affairs/beach-wellness/student-wellness-resources-0"/>
    <hyperlink ref="C12" r:id="rId8" display="https://www.csulb.edu/student-affairs/student-life-development/student-organizations"/>
    <hyperlink ref="C13" r:id="rId9" display="https://asicsulb.org/corporate/connect/beachfront/announcements/363-welcome-to-the-new-improved-beachsync"/>
    <hyperlink ref="C14" r:id="rId10" display="https://asicsulb.org/corporate/enjoy/beach-pride-center"/>
    <hyperlink ref="C15" r:id="rId11" display="https://asirecreation.org/rock-outdoor"/>
    <hyperlink ref="C16" r:id="rId12" display="https://www.asicsulb.org/corporate/discover/srwc"/>
    <hyperlink ref="C17" r:id="rId13" display="https://www.asicsulb.org/finals"/>
    <hyperlink ref="C18" r:id="rId14" display="https://www.csulb.edu/node/515706"/>
    <hyperlink ref="C19" r:id="rId15" display="https://www.csulb.edu/article/things-to-try-before-graduating"/>
    <hyperlink ref="C20" r:id="rId16" display="https://www.csulb.edu/news/article/eight-free-or-low-cost-things-to-do-at-csulb-during-the-summer"/>
    <hyperlink ref="C21" r:id="rId17" display="https://csulb.edu/jgard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80"/>
    <col collapsed="false" customWidth="true" hidden="false" outlineLevel="0" max="3" min="3" style="0" width="26"/>
  </cols>
  <sheetData>
    <row r="1" customFormat="false" ht="17.35" hidden="false" customHeight="false" outlineLevel="0" collapsed="false">
      <c r="A1" s="1" t="s">
        <v>341</v>
      </c>
    </row>
    <row r="3" customFormat="false" ht="15" hidden="false" customHeight="false" outlineLevel="0" collapsed="false">
      <c r="A3" s="13" t="s">
        <v>342</v>
      </c>
      <c r="B3" s="13" t="s">
        <v>343</v>
      </c>
      <c r="C3" s="13" t="s">
        <v>344</v>
      </c>
    </row>
    <row r="4" customFormat="false" ht="15" hidden="false" customHeight="false" outlineLevel="0" collapsed="false">
      <c r="A4" s="14" t="s">
        <v>18</v>
      </c>
      <c r="B4" s="14" t="s">
        <v>345</v>
      </c>
      <c r="C4" s="15" t="s">
        <v>33</v>
      </c>
    </row>
    <row r="5" customFormat="false" ht="15" hidden="false" customHeight="false" outlineLevel="0" collapsed="false">
      <c r="A5" s="14" t="s">
        <v>346</v>
      </c>
      <c r="B5" s="14" t="s">
        <v>347</v>
      </c>
      <c r="C5" s="15" t="s">
        <v>348</v>
      </c>
    </row>
    <row r="6" customFormat="false" ht="23.85" hidden="false" customHeight="false" outlineLevel="0" collapsed="false">
      <c r="A6" s="14" t="s">
        <v>21</v>
      </c>
      <c r="B6" s="14" t="s">
        <v>349</v>
      </c>
      <c r="C6" s="15" t="s">
        <v>350</v>
      </c>
    </row>
    <row r="7" customFormat="false" ht="15" hidden="false" customHeight="false" outlineLevel="0" collapsed="false">
      <c r="A7" s="14" t="s">
        <v>22</v>
      </c>
      <c r="B7" s="14" t="s">
        <v>351</v>
      </c>
      <c r="C7" s="15" t="s">
        <v>352</v>
      </c>
    </row>
    <row r="8" customFormat="false" ht="15" hidden="false" customHeight="false" outlineLevel="0" collapsed="false">
      <c r="A8" s="14" t="s">
        <v>23</v>
      </c>
      <c r="B8" s="14" t="s">
        <v>353</v>
      </c>
      <c r="C8" s="15" t="s">
        <v>354</v>
      </c>
    </row>
    <row r="9" customFormat="false" ht="15" hidden="false" customHeight="false" outlineLevel="0" collapsed="false">
      <c r="A9" s="14" t="s">
        <v>24</v>
      </c>
      <c r="B9" s="14" t="s">
        <v>355</v>
      </c>
      <c r="C9" s="15" t="s">
        <v>4</v>
      </c>
    </row>
    <row r="10" customFormat="false" ht="15" hidden="false" customHeight="false" outlineLevel="0" collapsed="false">
      <c r="A10" s="14" t="s">
        <v>26</v>
      </c>
      <c r="B10" s="14" t="s">
        <v>356</v>
      </c>
      <c r="C10" s="15" t="s">
        <v>357</v>
      </c>
    </row>
    <row r="11" customFormat="false" ht="15" hidden="false" customHeight="false" outlineLevel="0" collapsed="false">
      <c r="A11" s="14"/>
      <c r="B11" s="14"/>
      <c r="C11" s="14"/>
    </row>
    <row r="12" customFormat="false" ht="23.85" hidden="false" customHeight="false" outlineLevel="0" collapsed="false">
      <c r="A12" s="14" t="s">
        <v>358</v>
      </c>
      <c r="B12" s="14" t="s">
        <v>359</v>
      </c>
      <c r="C12" s="14"/>
    </row>
    <row r="13" customFormat="false" ht="15" hidden="false" customHeight="false" outlineLevel="0" collapsed="false">
      <c r="A13" s="14"/>
      <c r="B13" s="14"/>
      <c r="C13" s="14"/>
    </row>
    <row r="14" customFormat="false" ht="23.85" hidden="false" customHeight="false" outlineLevel="0" collapsed="false">
      <c r="A14" s="14" t="s">
        <v>360</v>
      </c>
      <c r="B14" s="14" t="s">
        <v>361</v>
      </c>
      <c r="C14" s="14"/>
    </row>
    <row r="15" customFormat="false" ht="15" hidden="false" customHeight="false" outlineLevel="0" collapsed="false">
      <c r="A15" s="14"/>
      <c r="B15" s="14" t="s">
        <v>362</v>
      </c>
      <c r="C15" s="14"/>
    </row>
    <row r="16" customFormat="false" ht="15" hidden="false" customHeight="false" outlineLevel="0" collapsed="false">
      <c r="A16" s="14"/>
      <c r="B16" s="14" t="s">
        <v>363</v>
      </c>
      <c r="C16" s="14"/>
    </row>
    <row r="17" customFormat="false" ht="23.85" hidden="false" customHeight="false" outlineLevel="0" collapsed="false">
      <c r="A17" s="14"/>
      <c r="B17" s="14" t="s">
        <v>364</v>
      </c>
      <c r="C17" s="14"/>
    </row>
    <row r="18" customFormat="false" ht="23.85" hidden="false" customHeight="false" outlineLevel="0" collapsed="false">
      <c r="A18" s="14"/>
      <c r="B18" s="14" t="s">
        <v>365</v>
      </c>
      <c r="C18" s="14"/>
    </row>
    <row r="20" customFormat="false" ht="35.05" hidden="false" customHeight="false" outlineLevel="0" collapsed="false">
      <c r="A20" s="3" t="s">
        <v>366</v>
      </c>
      <c r="B20" s="14" t="s">
        <v>367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2026-10-27T18:29:26Z</dcterms:created>
  <dc:creator>openpyxl</dc:creator>
  <dc:description/>
  <dc:language>en-US</dc:language>
  <cp:lastModifiedBy/>
  <dcterms:modified xsi:type="dcterms:W3CDTF">2026-10-27T18:29:26Z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